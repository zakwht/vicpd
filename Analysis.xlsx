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stpeoples-my.sharepoint.com/personal/zwhite_fpcc_ca/Documents/Desktop/Reports/"/>
    </mc:Choice>
  </mc:AlternateContent>
  <xr:revisionPtr revIDLastSave="380" documentId="13_ncr:101_{69260775-2460-4B5B-94D1-B940607589DB}" xr6:coauthVersionLast="47" xr6:coauthVersionMax="47" xr10:uidLastSave="{4462ECBA-205F-4D13-8052-23F89415E88B}"/>
  <bookViews>
    <workbookView xWindow="32880" yWindow="2085" windowWidth="21615" windowHeight="11295" activeTab="1" xr2:uid="{00000000-000D-0000-FFFF-FFFF00000000}"/>
  </bookViews>
  <sheets>
    <sheet name="Budgets" sheetId="1" r:id="rId1"/>
    <sheet name="BC" sheetId="4" r:id="rId2"/>
    <sheet name="Corr" sheetId="10" r:id="rId3"/>
    <sheet name="V1" sheetId="7" r:id="rId4"/>
    <sheet name="V2" sheetId="8" r:id="rId5"/>
    <sheet name="V3" sheetId="9" r:id="rId6"/>
    <sheet name="Facts" sheetId="5" r:id="rId7"/>
  </sheets>
  <definedNames>
    <definedName name="_xlnm._FilterDatabase" localSheetId="1" hidden="1">BC!$A$1:$Q$79</definedName>
    <definedName name="_xlnm._FilterDatabase" localSheetId="0" hidden="1">Budgets!$A$1:$O$31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K15" i="1"/>
  <c r="L15" i="1"/>
  <c r="M15" i="1"/>
  <c r="K16" i="1"/>
  <c r="L16" i="1"/>
  <c r="M16" i="1"/>
  <c r="K17" i="1"/>
  <c r="L17" i="1"/>
  <c r="M17" i="1"/>
  <c r="K12" i="1"/>
  <c r="L12" i="1"/>
  <c r="M12" i="1"/>
  <c r="Q20" i="4"/>
  <c r="Q32" i="4"/>
  <c r="Q36" i="4"/>
  <c r="Q49" i="4"/>
  <c r="Q56" i="4"/>
  <c r="Q62" i="4"/>
  <c r="Q63" i="4"/>
  <c r="Q68" i="4"/>
  <c r="Q70" i="4"/>
  <c r="Q18" i="4"/>
  <c r="Q72" i="4"/>
  <c r="Q41" i="4"/>
  <c r="Q35" i="4"/>
  <c r="Q44" i="4"/>
  <c r="Q19" i="4"/>
  <c r="Q76" i="4"/>
  <c r="Q79" i="4"/>
  <c r="Q75" i="4"/>
  <c r="Q54" i="4"/>
  <c r="Q50" i="4"/>
  <c r="Q31" i="4"/>
  <c r="Q55" i="4"/>
  <c r="Q10" i="4"/>
  <c r="Q21" i="4"/>
  <c r="Q47" i="4"/>
  <c r="Q64" i="4"/>
  <c r="Q13" i="4"/>
  <c r="Q22" i="4"/>
  <c r="Q27" i="4"/>
  <c r="Q25" i="4"/>
  <c r="Q73" i="4"/>
  <c r="Q71" i="4"/>
  <c r="Q16" i="4"/>
  <c r="Q67" i="4"/>
  <c r="Q53" i="4"/>
  <c r="Q8" i="4"/>
  <c r="Q48" i="4"/>
  <c r="Q39" i="4"/>
  <c r="Q12" i="4"/>
  <c r="Q28" i="4"/>
  <c r="Q29" i="4"/>
  <c r="Q11" i="4"/>
  <c r="Q24" i="4"/>
  <c r="Q45" i="4"/>
  <c r="Q40" i="4"/>
  <c r="Q58" i="4"/>
  <c r="Q66" i="4"/>
  <c r="Q65" i="4"/>
  <c r="Q59" i="4"/>
  <c r="Q69" i="4"/>
  <c r="Q30" i="4"/>
  <c r="Q46" i="4"/>
  <c r="Q7" i="4"/>
  <c r="Q51" i="4"/>
  <c r="Q23" i="4"/>
  <c r="Q60" i="4"/>
  <c r="Q14" i="4"/>
  <c r="Q3" i="4"/>
  <c r="Q74" i="4"/>
  <c r="Q6" i="4"/>
  <c r="Q38" i="4"/>
  <c r="Q34" i="4"/>
  <c r="Q52" i="4"/>
  <c r="Q57" i="4"/>
  <c r="Q17" i="4"/>
  <c r="Q78" i="4"/>
  <c r="Q43" i="4"/>
  <c r="Q77" i="4"/>
  <c r="Q9" i="4"/>
  <c r="Q33" i="4"/>
  <c r="Q4" i="4"/>
  <c r="Q37" i="4"/>
  <c r="Q61" i="4"/>
  <c r="Q15" i="4"/>
  <c r="Q26" i="4"/>
  <c r="Q42" i="4"/>
  <c r="Q5" i="4"/>
  <c r="Q2" i="4"/>
  <c r="P20" i="4"/>
  <c r="P32" i="4"/>
  <c r="P36" i="4"/>
  <c r="P49" i="4"/>
  <c r="P56" i="4"/>
  <c r="P62" i="4"/>
  <c r="P63" i="4"/>
  <c r="P68" i="4"/>
  <c r="P70" i="4"/>
  <c r="P18" i="4"/>
  <c r="P72" i="4"/>
  <c r="P41" i="4"/>
  <c r="P35" i="4"/>
  <c r="P44" i="4"/>
  <c r="P19" i="4"/>
  <c r="P76" i="4"/>
  <c r="P79" i="4"/>
  <c r="P75" i="4"/>
  <c r="P54" i="4"/>
  <c r="P50" i="4"/>
  <c r="P31" i="4"/>
  <c r="P55" i="4"/>
  <c r="P10" i="4"/>
  <c r="P21" i="4"/>
  <c r="P47" i="4"/>
  <c r="P64" i="4"/>
  <c r="P13" i="4"/>
  <c r="P22" i="4"/>
  <c r="P27" i="4"/>
  <c r="P25" i="4"/>
  <c r="P73" i="4"/>
  <c r="P71" i="4"/>
  <c r="P16" i="4"/>
  <c r="P67" i="4"/>
  <c r="P53" i="4"/>
  <c r="P8" i="4"/>
  <c r="P48" i="4"/>
  <c r="P39" i="4"/>
  <c r="P12" i="4"/>
  <c r="P28" i="4"/>
  <c r="P29" i="4"/>
  <c r="P11" i="4"/>
  <c r="P24" i="4"/>
  <c r="P45" i="4"/>
  <c r="P40" i="4"/>
  <c r="P58" i="4"/>
  <c r="P66" i="4"/>
  <c r="P65" i="4"/>
  <c r="P59" i="4"/>
  <c r="P69" i="4"/>
  <c r="P30" i="4"/>
  <c r="P46" i="4"/>
  <c r="P7" i="4"/>
  <c r="P51" i="4"/>
  <c r="P23" i="4"/>
  <c r="P60" i="4"/>
  <c r="P14" i="4"/>
  <c r="P3" i="4"/>
  <c r="P74" i="4"/>
  <c r="P6" i="4"/>
  <c r="P38" i="4"/>
  <c r="P34" i="4"/>
  <c r="P52" i="4"/>
  <c r="P57" i="4"/>
  <c r="P17" i="4"/>
  <c r="P78" i="4"/>
  <c r="P43" i="4"/>
  <c r="P77" i="4"/>
  <c r="P9" i="4"/>
  <c r="P33" i="4"/>
  <c r="P4" i="4"/>
  <c r="P37" i="4"/>
  <c r="P61" i="4"/>
  <c r="P15" i="4"/>
  <c r="P26" i="4"/>
  <c r="P42" i="4"/>
  <c r="P5" i="4"/>
  <c r="P2" i="4"/>
  <c r="O20" i="4"/>
  <c r="O32" i="4"/>
  <c r="O36" i="4"/>
  <c r="O49" i="4"/>
  <c r="O56" i="4"/>
  <c r="O62" i="4"/>
  <c r="O63" i="4"/>
  <c r="O68" i="4"/>
  <c r="O70" i="4"/>
  <c r="O18" i="4"/>
  <c r="O72" i="4"/>
  <c r="O41" i="4"/>
  <c r="O35" i="4"/>
  <c r="O44" i="4"/>
  <c r="O19" i="4"/>
  <c r="O76" i="4"/>
  <c r="O79" i="4"/>
  <c r="O75" i="4"/>
  <c r="O54" i="4"/>
  <c r="O50" i="4"/>
  <c r="O31" i="4"/>
  <c r="O55" i="4"/>
  <c r="O10" i="4"/>
  <c r="O21" i="4"/>
  <c r="O47" i="4"/>
  <c r="O64" i="4"/>
  <c r="O13" i="4"/>
  <c r="O22" i="4"/>
  <c r="O27" i="4"/>
  <c r="O25" i="4"/>
  <c r="O73" i="4"/>
  <c r="O71" i="4"/>
  <c r="O16" i="4"/>
  <c r="O67" i="4"/>
  <c r="O53" i="4"/>
  <c r="O8" i="4"/>
  <c r="O48" i="4"/>
  <c r="O39" i="4"/>
  <c r="O12" i="4"/>
  <c r="O28" i="4"/>
  <c r="O29" i="4"/>
  <c r="O11" i="4"/>
  <c r="O24" i="4"/>
  <c r="O45" i="4"/>
  <c r="O40" i="4"/>
  <c r="O58" i="4"/>
  <c r="O66" i="4"/>
  <c r="O65" i="4"/>
  <c r="O59" i="4"/>
  <c r="O69" i="4"/>
  <c r="O30" i="4"/>
  <c r="O46" i="4"/>
  <c r="O7" i="4"/>
  <c r="O51" i="4"/>
  <c r="O23" i="4"/>
  <c r="O60" i="4"/>
  <c r="O14" i="4"/>
  <c r="O3" i="4"/>
  <c r="O74" i="4"/>
  <c r="O6" i="4"/>
  <c r="O38" i="4"/>
  <c r="O34" i="4"/>
  <c r="O52" i="4"/>
  <c r="O57" i="4"/>
  <c r="O17" i="4"/>
  <c r="O78" i="4"/>
  <c r="O43" i="4"/>
  <c r="O77" i="4"/>
  <c r="O9" i="4"/>
  <c r="O33" i="4"/>
  <c r="O4" i="4"/>
  <c r="O37" i="4"/>
  <c r="O61" i="4"/>
  <c r="O15" i="4"/>
  <c r="O26" i="4"/>
  <c r="O42" i="4"/>
  <c r="O5" i="4"/>
  <c r="O2" i="4"/>
  <c r="G4" i="5"/>
  <c r="F6" i="5"/>
  <c r="E6" i="5"/>
  <c r="C6" i="5"/>
  <c r="M35" i="4"/>
  <c r="M19" i="4"/>
  <c r="M56" i="4"/>
  <c r="M54" i="4"/>
  <c r="M50" i="4"/>
  <c r="M31" i="4"/>
  <c r="M13" i="4"/>
  <c r="M27" i="4"/>
  <c r="M72" i="4"/>
  <c r="M44" i="4"/>
  <c r="M76" i="4"/>
  <c r="M75" i="4"/>
  <c r="M55" i="4"/>
  <c r="M10" i="4"/>
  <c r="M47" i="4"/>
  <c r="M64" i="4"/>
  <c r="M22" i="4"/>
  <c r="M73" i="4"/>
  <c r="M71" i="4"/>
  <c r="M16" i="4"/>
  <c r="M67" i="4"/>
  <c r="M12" i="4"/>
  <c r="M79" i="4"/>
  <c r="M68" i="4"/>
  <c r="M66" i="4"/>
  <c r="M65" i="4"/>
  <c r="M59" i="4"/>
  <c r="M69" i="4"/>
  <c r="M60" i="4"/>
  <c r="M3" i="4"/>
  <c r="M74" i="4"/>
  <c r="M6" i="4"/>
  <c r="M38" i="4"/>
  <c r="M57" i="4"/>
  <c r="M62" i="4"/>
  <c r="M17" i="4"/>
  <c r="M78" i="4"/>
  <c r="M77" i="4"/>
  <c r="M9" i="4"/>
  <c r="M33" i="4"/>
  <c r="M70" i="4"/>
  <c r="M26" i="4"/>
  <c r="M5" i="4"/>
  <c r="M25" i="4"/>
  <c r="M53" i="4"/>
  <c r="M49" i="4"/>
  <c r="M8" i="4"/>
  <c r="M48" i="4"/>
  <c r="M39" i="4"/>
  <c r="M28" i="4"/>
  <c r="M29" i="4"/>
  <c r="M45" i="4"/>
  <c r="M40" i="4"/>
  <c r="M58" i="4"/>
  <c r="M30" i="4"/>
  <c r="M46" i="4"/>
  <c r="M7" i="4"/>
  <c r="M51" i="4"/>
  <c r="M14" i="4"/>
  <c r="M34" i="4"/>
  <c r="M52" i="4"/>
  <c r="M63" i="4"/>
  <c r="M43" i="4"/>
  <c r="M37" i="4"/>
  <c r="M61" i="4"/>
  <c r="M42" i="4"/>
  <c r="M18" i="4"/>
  <c r="M32" i="4"/>
  <c r="M21" i="4"/>
  <c r="M11" i="4"/>
  <c r="M24" i="4"/>
  <c r="M36" i="4"/>
  <c r="M23" i="4"/>
  <c r="M20" i="4"/>
  <c r="M4" i="4"/>
  <c r="M2" i="4"/>
  <c r="M15" i="4"/>
  <c r="M41" i="4"/>
  <c r="L41" i="4"/>
  <c r="L15" i="4"/>
  <c r="L35" i="4"/>
  <c r="L19" i="4"/>
  <c r="L56" i="4"/>
  <c r="L54" i="4"/>
  <c r="L50" i="4"/>
  <c r="L31" i="4"/>
  <c r="L13" i="4"/>
  <c r="L27" i="4"/>
  <c r="L72" i="4"/>
  <c r="L44" i="4"/>
  <c r="L76" i="4"/>
  <c r="L75" i="4"/>
  <c r="L55" i="4"/>
  <c r="L10" i="4"/>
  <c r="L47" i="4"/>
  <c r="L64" i="4"/>
  <c r="L22" i="4"/>
  <c r="L73" i="4"/>
  <c r="L71" i="4"/>
  <c r="L16" i="4"/>
  <c r="L67" i="4"/>
  <c r="L12" i="4"/>
  <c r="L79" i="4"/>
  <c r="L68" i="4"/>
  <c r="L66" i="4"/>
  <c r="L65" i="4"/>
  <c r="L59" i="4"/>
  <c r="L69" i="4"/>
  <c r="L60" i="4"/>
  <c r="L3" i="4"/>
  <c r="L74" i="4"/>
  <c r="L6" i="4"/>
  <c r="L38" i="4"/>
  <c r="L57" i="4"/>
  <c r="L62" i="4"/>
  <c r="L17" i="4"/>
  <c r="L78" i="4"/>
  <c r="L77" i="4"/>
  <c r="L9" i="4"/>
  <c r="L33" i="4"/>
  <c r="L70" i="4"/>
  <c r="L26" i="4"/>
  <c r="L5" i="4"/>
  <c r="L25" i="4"/>
  <c r="L53" i="4"/>
  <c r="L49" i="4"/>
  <c r="L8" i="4"/>
  <c r="L48" i="4"/>
  <c r="L39" i="4"/>
  <c r="L28" i="4"/>
  <c r="L29" i="4"/>
  <c r="L45" i="4"/>
  <c r="L40" i="4"/>
  <c r="L58" i="4"/>
  <c r="L30" i="4"/>
  <c r="L46" i="4"/>
  <c r="L7" i="4"/>
  <c r="L51" i="4"/>
  <c r="L14" i="4"/>
  <c r="L34" i="4"/>
  <c r="L52" i="4"/>
  <c r="L63" i="4"/>
  <c r="L43" i="4"/>
  <c r="L37" i="4"/>
  <c r="L61" i="4"/>
  <c r="L42" i="4"/>
  <c r="L18" i="4"/>
  <c r="L32" i="4"/>
  <c r="L21" i="4"/>
  <c r="L11" i="4"/>
  <c r="L24" i="4"/>
  <c r="L36" i="4"/>
  <c r="L23" i="4"/>
  <c r="L20" i="4"/>
  <c r="L4" i="4"/>
  <c r="L2" i="4"/>
  <c r="G7" i="1"/>
  <c r="F7" i="1"/>
  <c r="L7" i="1" s="1"/>
  <c r="K3" i="1"/>
  <c r="K6" i="1"/>
  <c r="K4" i="1"/>
  <c r="K5" i="1"/>
  <c r="K10" i="1"/>
  <c r="K8" i="1"/>
  <c r="K11" i="1"/>
  <c r="K13" i="1"/>
  <c r="K9" i="1"/>
  <c r="K18" i="1"/>
  <c r="K19" i="1"/>
  <c r="K20" i="1"/>
  <c r="K21" i="1"/>
  <c r="K22" i="1"/>
  <c r="K23" i="1"/>
  <c r="K24" i="1"/>
  <c r="K25" i="1"/>
  <c r="K26" i="1"/>
  <c r="K2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M18" i="1"/>
  <c r="L18" i="1"/>
  <c r="M9" i="1"/>
  <c r="L9" i="1"/>
  <c r="M13" i="1"/>
  <c r="L13" i="1"/>
  <c r="M11" i="1"/>
  <c r="L11" i="1"/>
  <c r="M8" i="1"/>
  <c r="L8" i="1"/>
  <c r="M10" i="1"/>
  <c r="L10" i="1"/>
  <c r="M5" i="1"/>
  <c r="L5" i="1"/>
  <c r="M4" i="1"/>
  <c r="L4" i="1"/>
  <c r="M6" i="1"/>
  <c r="L6" i="1"/>
  <c r="M3" i="1"/>
  <c r="L3" i="1"/>
  <c r="M2" i="1"/>
  <c r="L2" i="1"/>
  <c r="K7" i="1" l="1"/>
  <c r="M7" i="1"/>
</calcChain>
</file>

<file path=xl/sharedStrings.xml><?xml version="1.0" encoding="utf-8"?>
<sst xmlns="http://schemas.openxmlformats.org/spreadsheetml/2006/main" count="292" uniqueCount="186">
  <si>
    <t>Population (2021 c)</t>
  </si>
  <si>
    <t>Total Operating Expenses Budget 2025</t>
  </si>
  <si>
    <t>% police budg.</t>
  </si>
  <si>
    <t>$ pc</t>
  </si>
  <si>
    <t>officer / body count?</t>
  </si>
  <si>
    <t>Victoria</t>
  </si>
  <si>
    <t>https://www.victoria.ca/media/file/2026-2030-financial-plan</t>
  </si>
  <si>
    <t>Vancouver</t>
  </si>
  <si>
    <t>https://vancouver.ca/files/cov/2026-budget.pdf</t>
  </si>
  <si>
    <t>Calgary</t>
  </si>
  <si>
    <t>https://www.calgary.ca/our-finances/2026-budget.html#resources</t>
  </si>
  <si>
    <t>Edmonton</t>
  </si>
  <si>
    <t>https://www.edmonton.ca/sites/default/files/public-files/documents/2026-approved-operating-budget-april.pdf</t>
  </si>
  <si>
    <t>Regina</t>
  </si>
  <si>
    <t>https://reginafiles.blob.core.windows.net/media/budgets/Budget%20Book%202026.pdf</t>
  </si>
  <si>
    <t>Winnipeg</t>
  </si>
  <si>
    <t>https://www.winnipeg.ca/media/6207</t>
  </si>
  <si>
    <t>Toronto</t>
  </si>
  <si>
    <t>https://www.toronto.ca/wp-content/uploads/2026/05/8f04-2026-City-of-Toronto-Budget-Summary.pdf</t>
  </si>
  <si>
    <t>Ottawa</t>
  </si>
  <si>
    <t>https://open.ottawa.ca/pages/budget-explorer#1</t>
  </si>
  <si>
    <t>Quebec</t>
  </si>
  <si>
    <t>https://www.ville.quebec.qc.ca/apropos/profil-financier/docs/budget2026-Detaille.pdf</t>
  </si>
  <si>
    <t>Montreal</t>
  </si>
  <si>
    <t>https://mtl.ged.montreal.ca/constellio/?collection=mtlca&amp;portal=REPDOCVDM#!displayDocument/00000133583</t>
  </si>
  <si>
    <t>Halifax</t>
  </si>
  <si>
    <t>https://cdn.halifax.ca/sites/default/files/documents/city-hall/budget-finances/2026-27-budget-and-business-plan_web_final_0.pdf</t>
  </si>
  <si>
    <t>Central Saanich</t>
  </si>
  <si>
    <t>https://www.centralsaanich.ca/sites/default/files/2026-03/2026%20Central%20Saanich%20Financial%20Plan%20DRAFT.pdf</t>
  </si>
  <si>
    <t>Sidney</t>
  </si>
  <si>
    <t>https://www.sidney.ca/wp-content/uploads/2024-Public-Binder-Final.pdf</t>
  </si>
  <si>
    <t>North Saanich</t>
  </si>
  <si>
    <t>blurry</t>
  </si>
  <si>
    <t>https://northsaanich.ca/wp-content/uploads/2026-2030-Financial-Plan.pdf</t>
  </si>
  <si>
    <t>Saanich</t>
  </si>
  <si>
    <t>https://www.saanich.ca/assets/Local~Government/Documents/2026%20Adopted%20Financial%20Plan.pdf</t>
  </si>
  <si>
    <t>Capital</t>
  </si>
  <si>
    <t>CRD</t>
  </si>
  <si>
    <t>&gt;1M pop</t>
  </si>
  <si>
    <t>St. John's</t>
  </si>
  <si>
    <t>NL funds their police force provincial</t>
  </si>
  <si>
    <t>Fredericton</t>
  </si>
  <si>
    <t>yoy (does not acct for change in pop)</t>
  </si>
  <si>
    <t>+-5K pop</t>
  </si>
  <si>
    <t>Niagara Falls</t>
  </si>
  <si>
    <t>Cape Breton</t>
  </si>
  <si>
    <t>Chilliwack</t>
  </si>
  <si>
    <t>Brossard</t>
  </si>
  <si>
    <t>Maple Ridge</t>
  </si>
  <si>
    <t>North Vancouver</t>
  </si>
  <si>
    <t>Newmarket</t>
  </si>
  <si>
    <t>wont tell me</t>
  </si>
  <si>
    <t>https://cbrm.ns.ca/wp-content/uploads/2026/06/CBRM-2026-27-Budget.pdf</t>
  </si>
  <si>
    <t>https://www.chilliwack.com/main/attachments/Files/2101/2026%5F-%5F2035%5FOperating%5FPlan.pdf</t>
  </si>
  <si>
    <t>Info not available for 2025, using 2026 total budget</t>
  </si>
  <si>
    <t>Budget not published</t>
  </si>
  <si>
    <t>Info only available for 2025. Protective services umbrella</t>
  </si>
  <si>
    <t>https://www.cnv.org/City-Hall/Finances/financial-plan</t>
  </si>
  <si>
    <t>Burnaby</t>
  </si>
  <si>
    <t>CampbellRiver</t>
  </si>
  <si>
    <t>Colwood</t>
  </si>
  <si>
    <t>Coquitlam</t>
  </si>
  <si>
    <t>Courtenay</t>
  </si>
  <si>
    <t>Cranbrook</t>
  </si>
  <si>
    <t>FortSt.John</t>
  </si>
  <si>
    <t>Kamloops</t>
  </si>
  <si>
    <t>Armstrong</t>
  </si>
  <si>
    <t>Castlegar</t>
  </si>
  <si>
    <t>Coldstream</t>
  </si>
  <si>
    <t>Comox</t>
  </si>
  <si>
    <t>Creston</t>
  </si>
  <si>
    <t>DawsonCreek</t>
  </si>
  <si>
    <t>Duncan58</t>
  </si>
  <si>
    <t>Fernie</t>
  </si>
  <si>
    <t>Hope10</t>
  </si>
  <si>
    <t>Kent10</t>
  </si>
  <si>
    <t>Kimberley</t>
  </si>
  <si>
    <t>Kitimat</t>
  </si>
  <si>
    <t>Ladysmith</t>
  </si>
  <si>
    <t>Merritt</t>
  </si>
  <si>
    <t>Metchosin58</t>
  </si>
  <si>
    <t>NorthSaanich</t>
  </si>
  <si>
    <t>Oliver58</t>
  </si>
  <si>
    <t>Osoyoos</t>
  </si>
  <si>
    <t>Parksville</t>
  </si>
  <si>
    <t>Peachland</t>
  </si>
  <si>
    <t>PowellRiver</t>
  </si>
  <si>
    <t>QualicumBeach</t>
  </si>
  <si>
    <t>Quesnel</t>
  </si>
  <si>
    <t>Revelstoke</t>
  </si>
  <si>
    <t>Sechelt</t>
  </si>
  <si>
    <t>Smithers</t>
  </si>
  <si>
    <t>Spallumcheen</t>
  </si>
  <si>
    <t>Summerland</t>
  </si>
  <si>
    <t>Terrace</t>
  </si>
  <si>
    <t>Trail</t>
  </si>
  <si>
    <t>ViewRoyal</t>
  </si>
  <si>
    <t>Whistler10,12</t>
  </si>
  <si>
    <t>WilliamsLake</t>
  </si>
  <si>
    <t>Municipality</t>
  </si>
  <si>
    <t>Population</t>
  </si>
  <si>
    <t>Authorized Strength</t>
  </si>
  <si>
    <t>Adj. Str</t>
  </si>
  <si>
    <t>Pop/Officer</t>
  </si>
  <si>
    <t>CCC Offences</t>
  </si>
  <si>
    <t>Crime Rate</t>
  </si>
  <si>
    <t>Case Load</t>
  </si>
  <si>
    <t>Total Costs</t>
  </si>
  <si>
    <t>Cost per capita</t>
  </si>
  <si>
    <t>Kelowna</t>
  </si>
  <si>
    <t>LakeCountry58</t>
  </si>
  <si>
    <t>Langford</t>
  </si>
  <si>
    <t>LangleyCity10,13</t>
  </si>
  <si>
    <t>LangleyTownship10,13</t>
  </si>
  <si>
    <t>MapleRidge10,13</t>
  </si>
  <si>
    <t>Mission10</t>
  </si>
  <si>
    <t>Nanaimo13</t>
  </si>
  <si>
    <t>NorthCowichan</t>
  </si>
  <si>
    <t>NorthVancouverCity10,14</t>
  </si>
  <si>
    <t>NorthVancouverDistrict10,14</t>
  </si>
  <si>
    <t>Penticton</t>
  </si>
  <si>
    <t>PittMeadows10,13,15</t>
  </si>
  <si>
    <t>PortAlberni</t>
  </si>
  <si>
    <t>PortCoquitlam10,13</t>
  </si>
  <si>
    <t>PrinceGeorge</t>
  </si>
  <si>
    <t>Richmond10,16</t>
  </si>
  <si>
    <t>SalmonArm</t>
  </si>
  <si>
    <t>Sooke58</t>
  </si>
  <si>
    <t>Squamish10,13</t>
  </si>
  <si>
    <t>Vernon</t>
  </si>
  <si>
    <t>WestKelowna</t>
  </si>
  <si>
    <t>WhiteRock10</t>
  </si>
  <si>
    <t>Abbotsford10,13</t>
  </si>
  <si>
    <t>CentralSaanich</t>
  </si>
  <si>
    <t>Delta10,13,20</t>
  </si>
  <si>
    <t>NelsonCity</t>
  </si>
  <si>
    <t>NewWestminster10</t>
  </si>
  <si>
    <t>OakBay</t>
  </si>
  <si>
    <t>PortMoody10</t>
  </si>
  <si>
    <t>WestVancouver10,13</t>
  </si>
  <si>
    <t>Municipal</t>
  </si>
  <si>
    <t>RCMP</t>
  </si>
  <si>
    <t>Pop/Off real</t>
  </si>
  <si>
    <t>Off/10k pop</t>
  </si>
  <si>
    <t>1. Victoria has the highest officer count/population out of all municipalities with over 15,000 population, and out of all municipalities with municipal forces (21.04)</t>
  </si>
  <si>
    <t>3. Victoria is only in the 22th percentile for case load (crimes / num officers) (41)</t>
  </si>
  <si>
    <t>4. Victoria is in the 62nd percentile for crime rate</t>
  </si>
  <si>
    <t xml:space="preserve">avg. cost per capita avg  $314.77 </t>
  </si>
  <si>
    <t>2. Victoria has the highest reported 2024 police spend per capita of all municipalities ($632), 101% above the average (vs. 632 vs 314.8)</t>
  </si>
  <si>
    <t>CRD?</t>
  </si>
  <si>
    <t>context &amp; purpose</t>
  </si>
  <si>
    <t>key findings</t>
  </si>
  <si>
    <t>implications</t>
  </si>
  <si>
    <t>recommendations / call to action</t>
  </si>
  <si>
    <t>Adj. Cost (incl. fed)</t>
  </si>
  <si>
    <t>Spend/CCC</t>
  </si>
  <si>
    <t>Spend/CR</t>
  </si>
  <si>
    <t>5. Victoria is in the top ten municipalities for spend per crime (7,249) and spend over crime rate ($886,751)</t>
  </si>
  <si>
    <t>Canada City Budget</t>
  </si>
  <si>
    <t>BC Police Spend</t>
  </si>
  <si>
    <t>1. At 23%, Victoria's police budget has the second highest share of city budget of any capital city in Canada (after Winnipeg at 28%)</t>
  </si>
  <si>
    <t>2. Victoria has the highest police budget per capita of all capital cities in Canada ($908)</t>
  </si>
  <si>
    <t>3. Victoria had the highest year-over-year increase in police budget in 2026 (13.9%)</t>
  </si>
  <si>
    <t>title</t>
  </si>
  <si>
    <t>subtitle (period and methodology)</t>
  </si>
  <si>
    <t>naem</t>
  </si>
  <si>
    <t>date</t>
  </si>
  <si>
    <t>link to analysis</t>
  </si>
  <si>
    <t>title page</t>
  </si>
  <si>
    <t>context / purpose / research q</t>
  </si>
  <si>
    <t>Municipal policing represents a substantial component of municipal expenditure</t>
  </si>
  <si>
    <t>Police budget and operations are major citizen concerns, particularly during election years.</t>
  </si>
  <si>
    <t>Comaprison of budgets/expenses between city may lack context (case load, crime rate, population), and be misleading.</t>
  </si>
  <si>
    <t>This analysis aims to contextually analyze spending between cities according to different metrics.</t>
  </si>
  <si>
    <t>Langley City</t>
  </si>
  <si>
    <t>Port Alberni</t>
  </si>
  <si>
    <t xml:space="preserve">Victoria </t>
  </si>
  <si>
    <t>Prince Rupert</t>
  </si>
  <si>
    <t>Williams Lake</t>
  </si>
  <si>
    <t>Dawson Creek</t>
  </si>
  <si>
    <t>Nelson City</t>
  </si>
  <si>
    <t>BC Municipality Average</t>
  </si>
  <si>
    <t>Charlottetown</t>
  </si>
  <si>
    <t>https://pub-fredericton.escribemeetings.com/filestream.ashx?DocumentId=22556</t>
  </si>
  <si>
    <t>https://www.charlottetownhall.ca/50037/widgets/211444/documents/158871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</si>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</sst>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2"/>
      <color rgb="FF0D0D0D"/>
      <name val="-apple-system-body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0" fontId="1" fillId="0" borderId="0" xfId="0" applyNumberFormat="1" applyFont="1"/>
    <xf numFmtId="164" fontId="1" fillId="0" borderId="0" xfId="0" applyNumberFormat="1" applyFont="1"/>
    <xf numFmtId="3" fontId="1" fillId="2" borderId="0" xfId="0" applyNumberFormat="1" applyFont="1" applyFill="1"/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3" fontId="4" fillId="0" borderId="0" xfId="0" applyNumberFormat="1" applyFont="1"/>
    <xf numFmtId="0" fontId="0" fillId="3" borderId="0" xfId="0" applyFill="1"/>
    <xf numFmtId="3" fontId="0" fillId="3" borderId="0" xfId="0" applyNumberFormat="1" applyFill="1"/>
    <xf numFmtId="3" fontId="3" fillId="0" borderId="0" xfId="0" applyNumberFormat="1" applyFont="1"/>
    <xf numFmtId="2" fontId="0" fillId="0" borderId="0" xfId="0" applyNumberFormat="1"/>
    <xf numFmtId="1" fontId="0" fillId="0" borderId="0" xfId="0" applyNumberFormat="1"/>
    <xf numFmtId="1" fontId="3" fillId="0" borderId="0" xfId="0" applyNumberFormat="1" applyFont="1"/>
    <xf numFmtId="2" fontId="0" fillId="3" borderId="0" xfId="0" applyNumberFormat="1" applyFill="1"/>
    <xf numFmtId="44" fontId="0" fillId="0" borderId="0" xfId="1" applyFont="1"/>
    <xf numFmtId="9" fontId="0" fillId="0" borderId="0" xfId="2" applyFont="1"/>
    <xf numFmtId="44" fontId="8" fillId="3" borderId="0" xfId="1" applyFont="1" applyFill="1"/>
    <xf numFmtId="8" fontId="0" fillId="0" borderId="0" xfId="1" applyNumberFormat="1" applyFont="1"/>
    <xf numFmtId="1" fontId="0" fillId="0" borderId="0" xfId="1" applyNumberFormat="1" applyFont="1"/>
    <xf numFmtId="0" fontId="9" fillId="0" borderId="1" xfId="0" applyFont="1" applyBorder="1" applyAlignment="1">
      <alignment horizontal="center"/>
    </xf>
    <xf numFmtId="0" fontId="0" fillId="4" borderId="0" xfId="0" applyFill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3"/>
    </xf>
    <xf numFmtId="0" fontId="11" fillId="0" borderId="0" xfId="0" applyFont="1" applyAlignment="1">
      <alignment vertical="center"/>
    </xf>
    <xf numFmtId="0" fontId="5" fillId="0" borderId="0" xfId="0" quotePrefix="1" applyFont="1"/>
    <xf numFmtId="3" fontId="6" fillId="0" borderId="0" xfId="0" applyNumberFormat="1" applyFont="1"/>
    <xf numFmtId="1" fontId="1" fillId="0" borderId="0" xfId="0" applyNumberFormat="1" applyFont="1"/>
    <xf numFmtId="44" fontId="8" fillId="0" borderId="0" xfId="1" applyFont="1" applyFill="1"/>
    <xf numFmtId="44" fontId="0" fillId="0" borderId="0" xfId="0" applyNumberFormat="1"/>
    <xf numFmtId="8" fontId="0" fillId="0" borderId="0" xfId="0" applyNumberFormat="1"/>
    <xf numFmtId="44" fontId="0" fillId="0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Police Spending per Capita in B.C. Municipalities (Top Ten)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28439800100818"/>
          <c:y val="0.15997472009199024"/>
          <c:w val="0.82943886583533077"/>
          <c:h val="0.772534985327933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'V1'!$C$4</c:f>
              <c:strCache>
                <c:ptCount val="1"/>
                <c:pt idx="0">
                  <c:v>Cost per capita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B6-4555-BF55-CBF2403E71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'V1'!$B$5:$B$14</c:f>
              <c:strCache>
                <c:ptCount val="10"/>
                <c:pt idx="0">
                  <c:v>Victoria </c:v>
                </c:pt>
                <c:pt idx="1">
                  <c:v>Prince Rupert</c:v>
                </c:pt>
                <c:pt idx="2">
                  <c:v>Vancouver</c:v>
                </c:pt>
                <c:pt idx="3">
                  <c:v>Williams Lake</c:v>
                </c:pt>
                <c:pt idx="4">
                  <c:v>Quesnel</c:v>
                </c:pt>
                <c:pt idx="5">
                  <c:v>Port Alberni</c:v>
                </c:pt>
                <c:pt idx="6">
                  <c:v>Langley City</c:v>
                </c:pt>
                <c:pt idx="7">
                  <c:v>Terrace</c:v>
                </c:pt>
                <c:pt idx="8">
                  <c:v>Dawson Creek</c:v>
                </c:pt>
                <c:pt idx="9">
                  <c:v>Nelson City</c:v>
                </c:pt>
              </c:strCache>
            </c:strRef>
          </c:cat>
          <c:val>
            <c:numRef>
              <c:f>'V1'!$C$5:$C$14</c:f>
              <c:numCache>
                <c:formatCode>_("$"* #,##0.00_);_("$"* \(#,##0.00\);_("$"* "-"??_);_(@_)</c:formatCode>
                <c:ptCount val="10"/>
                <c:pt idx="0">
                  <c:v>632</c:v>
                </c:pt>
                <c:pt idx="1">
                  <c:v>610</c:v>
                </c:pt>
                <c:pt idx="2">
                  <c:v>606</c:v>
                </c:pt>
                <c:pt idx="3">
                  <c:v>523</c:v>
                </c:pt>
                <c:pt idx="4">
                  <c:v>520</c:v>
                </c:pt>
                <c:pt idx="5">
                  <c:v>518</c:v>
                </c:pt>
                <c:pt idx="6">
                  <c:v>497</c:v>
                </c:pt>
                <c:pt idx="7">
                  <c:v>483</c:v>
                </c:pt>
                <c:pt idx="8">
                  <c:v>453</c:v>
                </c:pt>
                <c:pt idx="9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0-4F65-91DE-EE178A1B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734208"/>
        <c:axId val="1220660912"/>
      </c:barChart>
      <c:scatterChart>
        <c:scatterStyle val="lineMarker"/>
        <c:varyColors val="0"/>
        <c:ser>
          <c:idx val="1"/>
          <c:order val="1"/>
          <c:tx>
            <c:strRef>
              <c:f>'V1'!$B$19</c:f>
              <c:strCache>
                <c:ptCount val="1"/>
                <c:pt idx="0">
                  <c:v>BC Municipality Average</c:v>
                </c:pt>
              </c:strCache>
            </c:strRef>
          </c:tx>
          <c:spPr>
            <a:ln w="50800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B6-4555-BF55-CBF2403E71AC}"/>
                </c:ext>
              </c:extLst>
            </c:dLbl>
            <c:dLbl>
              <c:idx val="1"/>
              <c:layout>
                <c:manualLayout>
                  <c:x val="4.8667319231619844E-3"/>
                  <c:y val="-3.1856407414633768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B6-4555-BF55-CBF2403E71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'V1'!$D$19:$D$20</c:f>
              <c:numCache>
                <c:formatCode>"$"#,##0.00_);[Red]\("$"#,##0.00\)</c:formatCode>
                <c:ptCount val="2"/>
                <c:pt idx="0">
                  <c:v>314.77</c:v>
                </c:pt>
                <c:pt idx="1">
                  <c:v>314.77</c:v>
                </c:pt>
              </c:numCache>
            </c:numRef>
          </c:xVal>
          <c:yVal>
            <c:numRef>
              <c:f>'V1'!$C$19:$C$20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6-4555-BF55-CBF2403E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684208"/>
        <c:axId val="1819688528"/>
      </c:scatterChart>
      <c:catAx>
        <c:axId val="122573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60912"/>
        <c:crosses val="autoZero"/>
        <c:auto val="1"/>
        <c:lblAlgn val="ctr"/>
        <c:lblOffset val="100"/>
        <c:noMultiLvlLbl val="0"/>
      </c:catAx>
      <c:valAx>
        <c:axId val="122066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34208"/>
        <c:crosses val="autoZero"/>
        <c:crossBetween val="between"/>
      </c:valAx>
      <c:valAx>
        <c:axId val="1819688528"/>
        <c:scaling>
          <c:orientation val="minMax"/>
          <c:max val="1"/>
        </c:scaling>
        <c:delete val="0"/>
        <c:axPos val="r"/>
        <c:numFmt formatCode="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84208"/>
        <c:crosses val="max"/>
        <c:crossBetween val="midCat"/>
        <c:majorUnit val="1"/>
        <c:minorUnit val="1"/>
      </c:valAx>
      <c:valAx>
        <c:axId val="1819684208"/>
        <c:scaling>
          <c:orientation val="minMax"/>
        </c:scaling>
        <c:delete val="1"/>
        <c:axPos val="b"/>
        <c:numFmt formatCode="&quot;$&quot;#,##0.00_);[Red]\(&quot;$&quot;#,##0.00\)" sourceLinked="1"/>
        <c:majorTickMark val="out"/>
        <c:minorTickMark val="none"/>
        <c:tickLblPos val="nextTo"/>
        <c:crossAx val="181968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 Police Spending vs. Crime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BC!$J$1</c:f>
              <c:strCache>
                <c:ptCount val="1"/>
                <c:pt idx="0">
                  <c:v>Cost per capita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2">
                  <a:lumMod val="95000"/>
                  <a:lumOff val="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6.1602077210454282E-3"/>
                  <c:y val="-2.2580444883340631E-2"/>
                </c:manualLayout>
              </c:layout>
              <c:tx>
                <c:rich>
                  <a:bodyPr/>
                  <a:lstStyle/>
                  <a:p>
                    <a:fld id="{289E0B33-3876-495D-A207-DD608A82D1A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0DA964-25A9-4060-BE9E-D76CB51211E0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048-4091-B5D5-7DAEE4B6DE4E}"/>
                </c:ext>
              </c:extLst>
            </c:dLbl>
            <c:dLbl>
              <c:idx val="1"/>
              <c:layout>
                <c:manualLayout>
                  <c:x val="6.1497904168613731E-3"/>
                  <c:y val="-2.2758709449807331E-3"/>
                </c:manualLayout>
              </c:layout>
              <c:tx>
                <c:rich>
                  <a:bodyPr/>
                  <a:lstStyle/>
                  <a:p>
                    <a:fld id="{51927C1B-9F88-49D9-A02D-6442A0FECF7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98EEE1C-9997-4EE3-B850-A622BEB17397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048-4091-B5D5-7DAEE4B6DE4E}"/>
                </c:ext>
              </c:extLst>
            </c:dLbl>
            <c:dLbl>
              <c:idx val="2"/>
              <c:layout>
                <c:manualLayout>
                  <c:x val="-4.2434074741553196E-2"/>
                  <c:y val="4.8485563900919008E-2"/>
                </c:manualLayout>
              </c:layout>
              <c:tx>
                <c:rich>
                  <a:bodyPr/>
                  <a:lstStyle/>
                  <a:p>
                    <a:fld id="{A5BA91ED-F4B7-4E2F-950D-9671342AE1A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CD5929B-05DF-4D34-B894-D022AFDDC51D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048-4091-B5D5-7DAEE4B6DE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8-4091-B5D5-7DAEE4B6DE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48-4091-B5D5-7DAEE4B6DE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48-4091-B5D5-7DAEE4B6DE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48-4091-B5D5-7DAEE4B6DE4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48-4091-B5D5-7DAEE4B6DE4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48-4091-B5D5-7DAEE4B6DE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48-4091-B5D5-7DAEE4B6DE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48-4091-B5D5-7DAEE4B6DE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48-4091-B5D5-7DAEE4B6DE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48-4091-B5D5-7DAEE4B6DE4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48-4091-B5D5-7DAEE4B6DE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48-4091-B5D5-7DAEE4B6DE4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48-4091-B5D5-7DAEE4B6DE4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48-4091-B5D5-7DAEE4B6DE4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48-4091-B5D5-7DAEE4B6DE4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48-4091-B5D5-7DAEE4B6DE4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48-4091-B5D5-7DAEE4B6DE4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48-4091-B5D5-7DAEE4B6DE4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48-4091-B5D5-7DAEE4B6DE4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048-4091-B5D5-7DAEE4B6DE4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048-4091-B5D5-7DAEE4B6DE4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048-4091-B5D5-7DAEE4B6DE4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048-4091-B5D5-7DAEE4B6DE4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048-4091-B5D5-7DAEE4B6DE4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048-4091-B5D5-7DAEE4B6DE4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048-4091-B5D5-7DAEE4B6DE4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048-4091-B5D5-7DAEE4B6DE4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048-4091-B5D5-7DAEE4B6DE4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048-4091-B5D5-7DAEE4B6DE4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048-4091-B5D5-7DAEE4B6DE4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048-4091-B5D5-7DAEE4B6DE4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048-4091-B5D5-7DAEE4B6DE4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048-4091-B5D5-7DAEE4B6DE4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048-4091-B5D5-7DAEE4B6DE4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048-4091-B5D5-7DAEE4B6DE4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048-4091-B5D5-7DAEE4B6DE4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048-4091-B5D5-7DAEE4B6DE4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048-4091-B5D5-7DAEE4B6DE4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048-4091-B5D5-7DAEE4B6DE4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048-4091-B5D5-7DAEE4B6DE4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048-4091-B5D5-7DAEE4B6DE4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048-4091-B5D5-7DAEE4B6DE4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48-4091-B5D5-7DAEE4B6DE4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048-4091-B5D5-7DAEE4B6DE4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048-4091-B5D5-7DAEE4B6DE4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048-4091-B5D5-7DAEE4B6DE4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048-4091-B5D5-7DAEE4B6DE4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048-4091-B5D5-7DAEE4B6DE4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048-4091-B5D5-7DAEE4B6DE4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048-4091-B5D5-7DAEE4B6DE4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048-4091-B5D5-7DAEE4B6DE4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048-4091-B5D5-7DAEE4B6DE4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048-4091-B5D5-7DAEE4B6DE4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048-4091-B5D5-7DAEE4B6DE4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048-4091-B5D5-7DAEE4B6DE4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048-4091-B5D5-7DAEE4B6DE4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048-4091-B5D5-7DAEE4B6DE4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048-4091-B5D5-7DAEE4B6DE4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048-4091-B5D5-7DAEE4B6DE4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048-4091-B5D5-7DAEE4B6DE4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048-4091-B5D5-7DAEE4B6DE4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048-4091-B5D5-7DAEE4B6DE4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048-4091-B5D5-7DAEE4B6DE4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048-4091-B5D5-7DAEE4B6DE4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048-4091-B5D5-7DAEE4B6DE4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048-4091-B5D5-7DAEE4B6DE4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048-4091-B5D5-7DAEE4B6DE4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048-4091-B5D5-7DAEE4B6DE4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048-4091-B5D5-7DAEE4B6DE4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048-4091-B5D5-7DAEE4B6DE4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048-4091-B5D5-7DAEE4B6DE4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048-4091-B5D5-7DAEE4B6DE4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048-4091-B5D5-7DAEE4B6DE4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048-4091-B5D5-7DAEE4B6DE4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048-4091-B5D5-7DAEE4B6D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BC!$G$2:$G$79</c:f>
              <c:numCache>
                <c:formatCode>General</c:formatCode>
                <c:ptCount val="78"/>
                <c:pt idx="0">
                  <c:v>87</c:v>
                </c:pt>
                <c:pt idx="1">
                  <c:v>138</c:v>
                </c:pt>
                <c:pt idx="2">
                  <c:v>60</c:v>
                </c:pt>
                <c:pt idx="3">
                  <c:v>171</c:v>
                </c:pt>
                <c:pt idx="4">
                  <c:v>271</c:v>
                </c:pt>
                <c:pt idx="5">
                  <c:v>169</c:v>
                </c:pt>
                <c:pt idx="6">
                  <c:v>103</c:v>
                </c:pt>
                <c:pt idx="7">
                  <c:v>166</c:v>
                </c:pt>
                <c:pt idx="8">
                  <c:v>139</c:v>
                </c:pt>
                <c:pt idx="9">
                  <c:v>91</c:v>
                </c:pt>
                <c:pt idx="10">
                  <c:v>226</c:v>
                </c:pt>
                <c:pt idx="11">
                  <c:v>117</c:v>
                </c:pt>
                <c:pt idx="12">
                  <c:v>180</c:v>
                </c:pt>
                <c:pt idx="13">
                  <c:v>47</c:v>
                </c:pt>
                <c:pt idx="14">
                  <c:v>80</c:v>
                </c:pt>
                <c:pt idx="15">
                  <c:v>177</c:v>
                </c:pt>
                <c:pt idx="16">
                  <c:v>55</c:v>
                </c:pt>
                <c:pt idx="17">
                  <c:v>116</c:v>
                </c:pt>
                <c:pt idx="18">
                  <c:v>30</c:v>
                </c:pt>
                <c:pt idx="19">
                  <c:v>34</c:v>
                </c:pt>
                <c:pt idx="20">
                  <c:v>217</c:v>
                </c:pt>
                <c:pt idx="21">
                  <c:v>29</c:v>
                </c:pt>
                <c:pt idx="22">
                  <c:v>61</c:v>
                </c:pt>
                <c:pt idx="23">
                  <c:v>104</c:v>
                </c:pt>
                <c:pt idx="24">
                  <c:v>65</c:v>
                </c:pt>
                <c:pt idx="25">
                  <c:v>111</c:v>
                </c:pt>
                <c:pt idx="26">
                  <c:v>97</c:v>
                </c:pt>
                <c:pt idx="27">
                  <c:v>101</c:v>
                </c:pt>
                <c:pt idx="28">
                  <c:v>165</c:v>
                </c:pt>
                <c:pt idx="29">
                  <c:v>127</c:v>
                </c:pt>
                <c:pt idx="30">
                  <c:v>26</c:v>
                </c:pt>
                <c:pt idx="31">
                  <c:v>107</c:v>
                </c:pt>
                <c:pt idx="32">
                  <c:v>57</c:v>
                </c:pt>
                <c:pt idx="33">
                  <c:v>148</c:v>
                </c:pt>
                <c:pt idx="34">
                  <c:v>25</c:v>
                </c:pt>
                <c:pt idx="35">
                  <c:v>123</c:v>
                </c:pt>
                <c:pt idx="36">
                  <c:v>63</c:v>
                </c:pt>
                <c:pt idx="37">
                  <c:v>64</c:v>
                </c:pt>
                <c:pt idx="38">
                  <c:v>67</c:v>
                </c:pt>
                <c:pt idx="39">
                  <c:v>57</c:v>
                </c:pt>
                <c:pt idx="40">
                  <c:v>62</c:v>
                </c:pt>
                <c:pt idx="41">
                  <c:v>58</c:v>
                </c:pt>
                <c:pt idx="42">
                  <c:v>80</c:v>
                </c:pt>
                <c:pt idx="43">
                  <c:v>88</c:v>
                </c:pt>
                <c:pt idx="44">
                  <c:v>46</c:v>
                </c:pt>
                <c:pt idx="45">
                  <c:v>268</c:v>
                </c:pt>
                <c:pt idx="46">
                  <c:v>51</c:v>
                </c:pt>
                <c:pt idx="47">
                  <c:v>52</c:v>
                </c:pt>
                <c:pt idx="48">
                  <c:v>129</c:v>
                </c:pt>
                <c:pt idx="49">
                  <c:v>44</c:v>
                </c:pt>
                <c:pt idx="50">
                  <c:v>70</c:v>
                </c:pt>
                <c:pt idx="51">
                  <c:v>43</c:v>
                </c:pt>
                <c:pt idx="52">
                  <c:v>43</c:v>
                </c:pt>
                <c:pt idx="53">
                  <c:v>89</c:v>
                </c:pt>
                <c:pt idx="54">
                  <c:v>63</c:v>
                </c:pt>
                <c:pt idx="55">
                  <c:v>115</c:v>
                </c:pt>
                <c:pt idx="56">
                  <c:v>32</c:v>
                </c:pt>
                <c:pt idx="57">
                  <c:v>81</c:v>
                </c:pt>
                <c:pt idx="58">
                  <c:v>103</c:v>
                </c:pt>
                <c:pt idx="59">
                  <c:v>54</c:v>
                </c:pt>
                <c:pt idx="60">
                  <c:v>39</c:v>
                </c:pt>
                <c:pt idx="61">
                  <c:v>68</c:v>
                </c:pt>
                <c:pt idx="62">
                  <c:v>40</c:v>
                </c:pt>
                <c:pt idx="63">
                  <c:v>80</c:v>
                </c:pt>
                <c:pt idx="64">
                  <c:v>75</c:v>
                </c:pt>
                <c:pt idx="65">
                  <c:v>53</c:v>
                </c:pt>
                <c:pt idx="66">
                  <c:v>27</c:v>
                </c:pt>
                <c:pt idx="67">
                  <c:v>36</c:v>
                </c:pt>
                <c:pt idx="68">
                  <c:v>50</c:v>
                </c:pt>
                <c:pt idx="69">
                  <c:v>34</c:v>
                </c:pt>
                <c:pt idx="70">
                  <c:v>46</c:v>
                </c:pt>
                <c:pt idx="71">
                  <c:v>50</c:v>
                </c:pt>
                <c:pt idx="72">
                  <c:v>36</c:v>
                </c:pt>
                <c:pt idx="73">
                  <c:v>35</c:v>
                </c:pt>
                <c:pt idx="74">
                  <c:v>29</c:v>
                </c:pt>
                <c:pt idx="75">
                  <c:v>51</c:v>
                </c:pt>
                <c:pt idx="76">
                  <c:v>35</c:v>
                </c:pt>
                <c:pt idx="77">
                  <c:v>26</c:v>
                </c:pt>
              </c:numCache>
            </c:numRef>
          </c:xVal>
          <c:yVal>
            <c:numRef>
              <c:f>BC!$J$2:$J$79</c:f>
              <c:numCache>
                <c:formatCode>_("$"* #,##0.00_);_("$"* \(#,##0.00\);_("$"* "-"??_);_(@_)</c:formatCode>
                <c:ptCount val="78"/>
                <c:pt idx="0">
                  <c:v>632</c:v>
                </c:pt>
                <c:pt idx="1">
                  <c:v>610</c:v>
                </c:pt>
                <c:pt idx="2">
                  <c:v>606</c:v>
                </c:pt>
                <c:pt idx="3">
                  <c:v>523</c:v>
                </c:pt>
                <c:pt idx="4">
                  <c:v>520</c:v>
                </c:pt>
                <c:pt idx="5">
                  <c:v>518</c:v>
                </c:pt>
                <c:pt idx="6">
                  <c:v>497</c:v>
                </c:pt>
                <c:pt idx="7">
                  <c:v>483</c:v>
                </c:pt>
                <c:pt idx="8">
                  <c:v>453</c:v>
                </c:pt>
                <c:pt idx="9">
                  <c:v>451</c:v>
                </c:pt>
                <c:pt idx="10">
                  <c:v>448</c:v>
                </c:pt>
                <c:pt idx="11">
                  <c:v>443</c:v>
                </c:pt>
                <c:pt idx="12">
                  <c:v>440</c:v>
                </c:pt>
                <c:pt idx="13">
                  <c:v>440</c:v>
                </c:pt>
                <c:pt idx="14">
                  <c:v>438</c:v>
                </c:pt>
                <c:pt idx="15">
                  <c:v>434</c:v>
                </c:pt>
                <c:pt idx="16">
                  <c:v>411</c:v>
                </c:pt>
                <c:pt idx="17">
                  <c:v>407</c:v>
                </c:pt>
                <c:pt idx="18">
                  <c:v>403</c:v>
                </c:pt>
                <c:pt idx="19">
                  <c:v>401</c:v>
                </c:pt>
                <c:pt idx="20">
                  <c:v>400</c:v>
                </c:pt>
                <c:pt idx="21">
                  <c:v>398</c:v>
                </c:pt>
                <c:pt idx="22">
                  <c:v>397</c:v>
                </c:pt>
                <c:pt idx="23">
                  <c:v>395</c:v>
                </c:pt>
                <c:pt idx="24">
                  <c:v>391</c:v>
                </c:pt>
                <c:pt idx="25">
                  <c:v>362</c:v>
                </c:pt>
                <c:pt idx="26">
                  <c:v>362</c:v>
                </c:pt>
                <c:pt idx="27">
                  <c:v>357</c:v>
                </c:pt>
                <c:pt idx="28">
                  <c:v>357</c:v>
                </c:pt>
                <c:pt idx="29">
                  <c:v>355</c:v>
                </c:pt>
                <c:pt idx="30">
                  <c:v>350</c:v>
                </c:pt>
                <c:pt idx="31">
                  <c:v>345</c:v>
                </c:pt>
                <c:pt idx="32">
                  <c:v>325</c:v>
                </c:pt>
                <c:pt idx="33">
                  <c:v>313</c:v>
                </c:pt>
                <c:pt idx="34">
                  <c:v>311</c:v>
                </c:pt>
                <c:pt idx="35">
                  <c:v>304</c:v>
                </c:pt>
                <c:pt idx="36">
                  <c:v>296</c:v>
                </c:pt>
                <c:pt idx="37">
                  <c:v>294</c:v>
                </c:pt>
                <c:pt idx="38">
                  <c:v>290</c:v>
                </c:pt>
                <c:pt idx="39">
                  <c:v>288</c:v>
                </c:pt>
                <c:pt idx="40">
                  <c:v>287</c:v>
                </c:pt>
                <c:pt idx="41">
                  <c:v>285</c:v>
                </c:pt>
                <c:pt idx="42">
                  <c:v>282</c:v>
                </c:pt>
                <c:pt idx="43">
                  <c:v>282</c:v>
                </c:pt>
                <c:pt idx="44">
                  <c:v>280</c:v>
                </c:pt>
                <c:pt idx="45">
                  <c:v>279</c:v>
                </c:pt>
                <c:pt idx="46">
                  <c:v>278</c:v>
                </c:pt>
                <c:pt idx="47">
                  <c:v>276</c:v>
                </c:pt>
                <c:pt idx="48">
                  <c:v>267</c:v>
                </c:pt>
                <c:pt idx="49">
                  <c:v>263</c:v>
                </c:pt>
                <c:pt idx="50">
                  <c:v>261</c:v>
                </c:pt>
                <c:pt idx="51">
                  <c:v>255</c:v>
                </c:pt>
                <c:pt idx="52">
                  <c:v>246</c:v>
                </c:pt>
                <c:pt idx="53">
                  <c:v>245</c:v>
                </c:pt>
                <c:pt idx="54">
                  <c:v>237</c:v>
                </c:pt>
                <c:pt idx="55">
                  <c:v>236</c:v>
                </c:pt>
                <c:pt idx="56">
                  <c:v>223</c:v>
                </c:pt>
                <c:pt idx="57">
                  <c:v>222</c:v>
                </c:pt>
                <c:pt idx="58">
                  <c:v>222</c:v>
                </c:pt>
                <c:pt idx="59">
                  <c:v>221</c:v>
                </c:pt>
                <c:pt idx="60">
                  <c:v>219</c:v>
                </c:pt>
                <c:pt idx="61">
                  <c:v>196</c:v>
                </c:pt>
                <c:pt idx="62">
                  <c:v>193</c:v>
                </c:pt>
                <c:pt idx="63">
                  <c:v>186</c:v>
                </c:pt>
                <c:pt idx="64">
                  <c:v>184</c:v>
                </c:pt>
                <c:pt idx="65">
                  <c:v>183</c:v>
                </c:pt>
                <c:pt idx="66">
                  <c:v>180</c:v>
                </c:pt>
                <c:pt idx="67">
                  <c:v>175</c:v>
                </c:pt>
                <c:pt idx="68">
                  <c:v>173</c:v>
                </c:pt>
                <c:pt idx="69">
                  <c:v>159</c:v>
                </c:pt>
                <c:pt idx="70">
                  <c:v>157</c:v>
                </c:pt>
                <c:pt idx="71">
                  <c:v>151</c:v>
                </c:pt>
                <c:pt idx="72">
                  <c:v>145</c:v>
                </c:pt>
                <c:pt idx="73">
                  <c:v>137</c:v>
                </c:pt>
                <c:pt idx="74">
                  <c:v>134</c:v>
                </c:pt>
                <c:pt idx="75">
                  <c:v>132</c:v>
                </c:pt>
                <c:pt idx="76">
                  <c:v>128</c:v>
                </c:pt>
                <c:pt idx="77">
                  <c:v>125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BC!$A$2:$A$79</c15:f>
                <c15:dlblRangeCache>
                  <c:ptCount val="78"/>
                  <c:pt idx="0">
                    <c:v>Victoria</c:v>
                  </c:pt>
                  <c:pt idx="1">
                    <c:v>Prince Rupert</c:v>
                  </c:pt>
                  <c:pt idx="2">
                    <c:v>Vancouver</c:v>
                  </c:pt>
                  <c:pt idx="3">
                    <c:v>WilliamsLake</c:v>
                  </c:pt>
                  <c:pt idx="4">
                    <c:v>Quesnel</c:v>
                  </c:pt>
                  <c:pt idx="5">
                    <c:v>PortAlberni</c:v>
                  </c:pt>
                  <c:pt idx="6">
                    <c:v>LangleyCity10,13</c:v>
                  </c:pt>
                  <c:pt idx="7">
                    <c:v>Terrace</c:v>
                  </c:pt>
                  <c:pt idx="8">
                    <c:v>DawsonCreek</c:v>
                  </c:pt>
                  <c:pt idx="9">
                    <c:v>NelsonCity</c:v>
                  </c:pt>
                  <c:pt idx="10">
                    <c:v>Merritt</c:v>
                  </c:pt>
                  <c:pt idx="11">
                    <c:v>FortSt.John</c:v>
                  </c:pt>
                  <c:pt idx="12">
                    <c:v>PrinceGeorge</c:v>
                  </c:pt>
                  <c:pt idx="13">
                    <c:v>WestVancouver10,13</c:v>
                  </c:pt>
                  <c:pt idx="14">
                    <c:v>Kitimat</c:v>
                  </c:pt>
                  <c:pt idx="15">
                    <c:v>Smithers</c:v>
                  </c:pt>
                  <c:pt idx="16">
                    <c:v>Abbotsford10,13</c:v>
                  </c:pt>
                  <c:pt idx="17">
                    <c:v>Chilliwack</c:v>
                  </c:pt>
                  <c:pt idx="18">
                    <c:v>Saanich</c:v>
                  </c:pt>
                  <c:pt idx="19">
                    <c:v>Delta10,13,20</c:v>
                  </c:pt>
                  <c:pt idx="20">
                    <c:v>Hope10</c:v>
                  </c:pt>
                  <c:pt idx="21">
                    <c:v>PortMoody10</c:v>
                  </c:pt>
                  <c:pt idx="22">
                    <c:v>NewWestminster10</c:v>
                  </c:pt>
                  <c:pt idx="23">
                    <c:v>Kelowna</c:v>
                  </c:pt>
                  <c:pt idx="24">
                    <c:v>Whistler10,12</c:v>
                  </c:pt>
                  <c:pt idx="25">
                    <c:v>Kamloops</c:v>
                  </c:pt>
                  <c:pt idx="26">
                    <c:v>Mission10</c:v>
                  </c:pt>
                  <c:pt idx="27">
                    <c:v>Nanaimo13</c:v>
                  </c:pt>
                  <c:pt idx="28">
                    <c:v>Penticton</c:v>
                  </c:pt>
                  <c:pt idx="29">
                    <c:v>Cranbrook</c:v>
                  </c:pt>
                  <c:pt idx="30">
                    <c:v>CentralSaanich</c:v>
                  </c:pt>
                  <c:pt idx="31">
                    <c:v>Trail</c:v>
                  </c:pt>
                  <c:pt idx="32">
                    <c:v>Richmond10,16</c:v>
                  </c:pt>
                  <c:pt idx="33">
                    <c:v>CampbellRiver</c:v>
                  </c:pt>
                  <c:pt idx="34">
                    <c:v>OakBay</c:v>
                  </c:pt>
                  <c:pt idx="35">
                    <c:v>Vernon</c:v>
                  </c:pt>
                  <c:pt idx="36">
                    <c:v>Revelstoke</c:v>
                  </c:pt>
                  <c:pt idx="37">
                    <c:v>MapleRidge10,13</c:v>
                  </c:pt>
                  <c:pt idx="38">
                    <c:v>NorthVancouverCity10,14</c:v>
                  </c:pt>
                  <c:pt idx="39">
                    <c:v>Burnaby</c:v>
                  </c:pt>
                  <c:pt idx="40">
                    <c:v>WhiteRock10</c:v>
                  </c:pt>
                  <c:pt idx="41">
                    <c:v>Squamish10,13</c:v>
                  </c:pt>
                  <c:pt idx="42">
                    <c:v>Castlegar</c:v>
                  </c:pt>
                  <c:pt idx="43">
                    <c:v>NorthCowichan</c:v>
                  </c:pt>
                  <c:pt idx="44">
                    <c:v>PittMeadows10,13,15</c:v>
                  </c:pt>
                  <c:pt idx="45">
                    <c:v>Duncan58</c:v>
                  </c:pt>
                  <c:pt idx="46">
                    <c:v>LangleyTownship10,13</c:v>
                  </c:pt>
                  <c:pt idx="47">
                    <c:v>Langford</c:v>
                  </c:pt>
                  <c:pt idx="48">
                    <c:v>Courtenay</c:v>
                  </c:pt>
                  <c:pt idx="49">
                    <c:v>PortCoquitlam10,13</c:v>
                  </c:pt>
                  <c:pt idx="50">
                    <c:v>SalmonArm</c:v>
                  </c:pt>
                  <c:pt idx="51">
                    <c:v>LakeCountry58</c:v>
                  </c:pt>
                  <c:pt idx="52">
                    <c:v>Coquitlam</c:v>
                  </c:pt>
                  <c:pt idx="53">
                    <c:v>Creston</c:v>
                  </c:pt>
                  <c:pt idx="54">
                    <c:v>Colwood</c:v>
                  </c:pt>
                  <c:pt idx="55">
                    <c:v>Sechelt</c:v>
                  </c:pt>
                  <c:pt idx="56">
                    <c:v>NorthVancouverDistrict10,14</c:v>
                  </c:pt>
                  <c:pt idx="57">
                    <c:v>Parksville</c:v>
                  </c:pt>
                  <c:pt idx="58">
                    <c:v>PowellRiver</c:v>
                  </c:pt>
                  <c:pt idx="59">
                    <c:v>WestKelowna</c:v>
                  </c:pt>
                  <c:pt idx="60">
                    <c:v>Sidney</c:v>
                  </c:pt>
                  <c:pt idx="61">
                    <c:v>Sooke58</c:v>
                  </c:pt>
                  <c:pt idx="62">
                    <c:v>Fernie</c:v>
                  </c:pt>
                  <c:pt idx="63">
                    <c:v>Osoyoos</c:v>
                  </c:pt>
                  <c:pt idx="64">
                    <c:v>Oliver58</c:v>
                  </c:pt>
                  <c:pt idx="65">
                    <c:v>Ladysmith</c:v>
                  </c:pt>
                  <c:pt idx="66">
                    <c:v>NorthSaanich</c:v>
                  </c:pt>
                  <c:pt idx="67">
                    <c:v>Peachland</c:v>
                  </c:pt>
                  <c:pt idx="68">
                    <c:v>ViewRoyal</c:v>
                  </c:pt>
                  <c:pt idx="69">
                    <c:v>Kimberley</c:v>
                  </c:pt>
                  <c:pt idx="70">
                    <c:v>Armstrong</c:v>
                  </c:pt>
                  <c:pt idx="71">
                    <c:v>Kent10</c:v>
                  </c:pt>
                  <c:pt idx="72">
                    <c:v>QualicumBeach</c:v>
                  </c:pt>
                  <c:pt idx="73">
                    <c:v>Comox</c:v>
                  </c:pt>
                  <c:pt idx="74">
                    <c:v>Coldstream</c:v>
                  </c:pt>
                  <c:pt idx="75">
                    <c:v>Summerland</c:v>
                  </c:pt>
                  <c:pt idx="76">
                    <c:v>Spallumcheen</c:v>
                  </c:pt>
                  <c:pt idx="77">
                    <c:v>Metchosin58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048-4091-B5D5-7DAEE4B6D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91760"/>
        <c:axId val="1819614608"/>
      </c:scatterChart>
      <c:valAx>
        <c:axId val="181399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14608"/>
        <c:crosses val="autoZero"/>
        <c:crossBetween val="midCat"/>
      </c:valAx>
      <c:valAx>
        <c:axId val="18196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91760"/>
        <c:crosses val="autoZero"/>
        <c:crossBetween val="midCat"/>
      </c:valAx>
      <c:spPr>
        <a:gradFill flip="none" rotWithShape="1">
          <a:gsLst>
            <a:gs pos="0">
              <a:schemeClr val="accent4">
                <a:lumMod val="20000"/>
                <a:lumOff val="80000"/>
              </a:schemeClr>
            </a:gs>
            <a:gs pos="74000">
              <a:schemeClr val="accent3">
                <a:lumMod val="20000"/>
                <a:lumOff val="80000"/>
              </a:schemeClr>
            </a:gs>
            <a:gs pos="83000">
              <a:schemeClr val="accent5">
                <a:lumMod val="20000"/>
                <a:lumOff val="80000"/>
              </a:schemeClr>
            </a:gs>
            <a:gs pos="100000">
              <a:schemeClr val="accent2">
                <a:lumMod val="20000"/>
                <a:lumOff val="80000"/>
              </a:schemeClr>
            </a:gs>
          </a:gsLst>
          <a:lin ang="13500000" scaled="1"/>
          <a:tileRect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Police Budget per Capita in Canadian Capitals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Budgets!$A$2:$A$18</c:f>
              <c:strCache>
                <c:ptCount val="10"/>
                <c:pt idx="0">
                  <c:v>Victoria</c:v>
                </c:pt>
                <c:pt idx="1">
                  <c:v>Edmonton</c:v>
                </c:pt>
                <c:pt idx="2">
                  <c:v>Regina</c:v>
                </c:pt>
                <c:pt idx="3">
                  <c:v>Fredericton</c:v>
                </c:pt>
                <c:pt idx="4">
                  <c:v>Toronto</c:v>
                </c:pt>
                <c:pt idx="5">
                  <c:v>Winnipeg</c:v>
                </c:pt>
                <c:pt idx="6">
                  <c:v>Ottawa</c:v>
                </c:pt>
                <c:pt idx="7">
                  <c:v>Charlottetown</c:v>
                </c:pt>
                <c:pt idx="8">
                  <c:v>Quebec</c:v>
                </c:pt>
                <c:pt idx="9">
                  <c:v>Halifax</c:v>
                </c:pt>
              </c:strCache>
            </c:strRef>
          </c:cat>
          <c:val>
            <c:numRef>
              <c:f>Budgets!$L$2:$L$18</c:f>
              <c:numCache>
                <c:formatCode>"$"#,##0.00</c:formatCode>
                <c:ptCount val="10"/>
                <c:pt idx="0">
                  <c:v>908.0229026745186</c:v>
                </c:pt>
                <c:pt idx="1">
                  <c:v>576.0120447245472</c:v>
                </c:pt>
                <c:pt idx="2">
                  <c:v>540.89150368368053</c:v>
                </c:pt>
                <c:pt idx="3">
                  <c:v>492.29681855630901</c:v>
                </c:pt>
                <c:pt idx="4">
                  <c:v>479.19592206576397</c:v>
                </c:pt>
                <c:pt idx="5">
                  <c:v>452.06539826869277</c:v>
                </c:pt>
                <c:pt idx="6">
                  <c:v>434.8679884692009</c:v>
                </c:pt>
                <c:pt idx="7">
                  <c:v>408.46239274395117</c:v>
                </c:pt>
                <c:pt idx="8">
                  <c:v>317.76711274180605</c:v>
                </c:pt>
                <c:pt idx="9">
                  <c:v>260.82342963810112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A-4D4E-AC8C-42122AF2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972032"/>
        <c:axId val="181966164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Budgets!$A$2:$A$18</c:f>
              <c:strCache>
                <c:ptCount val="10"/>
                <c:pt idx="0">
                  <c:v>Victoria</c:v>
                </c:pt>
                <c:pt idx="1">
                  <c:v>Edmonton</c:v>
                </c:pt>
                <c:pt idx="2">
                  <c:v>Regina</c:v>
                </c:pt>
                <c:pt idx="3">
                  <c:v>Fredericton</c:v>
                </c:pt>
                <c:pt idx="4">
                  <c:v>Toronto</c:v>
                </c:pt>
                <c:pt idx="5">
                  <c:v>Winnipeg</c:v>
                </c:pt>
                <c:pt idx="6">
                  <c:v>Ottawa</c:v>
                </c:pt>
                <c:pt idx="7">
                  <c:v>Charlottetown</c:v>
                </c:pt>
                <c:pt idx="8">
                  <c:v>Quebec</c:v>
                </c:pt>
                <c:pt idx="9">
                  <c:v>Halifax</c:v>
                </c:pt>
              </c:strCache>
            </c:strRef>
          </c:cat>
          <c:val>
            <c:numRef>
              <c:f>Budgets!$K$2:$K$18</c:f>
              <c:numCache>
                <c:formatCode>0.00%</c:formatCode>
                <c:ptCount val="10"/>
                <c:pt idx="0">
                  <c:v>0.23314162119812901</c:v>
                </c:pt>
                <c:pt idx="1">
                  <c:v>0.16229967227334377</c:v>
                </c:pt>
                <c:pt idx="2">
                  <c:v>0.1462104207459764</c:v>
                </c:pt>
                <c:pt idx="3">
                  <c:v>0.17247323618801283</c:v>
                </c:pt>
                <c:pt idx="4">
                  <c:v>0.19401899237178324</c:v>
                </c:pt>
                <c:pt idx="5">
                  <c:v>0.28140132977166699</c:v>
                </c:pt>
                <c:pt idx="6">
                  <c:v>8.8847317819283247E-2</c:v>
                </c:pt>
                <c:pt idx="7">
                  <c:v>0.18337200158700132</c:v>
                </c:pt>
                <c:pt idx="8">
                  <c:v>8.6632926466210181E-2</c:v>
                </c:pt>
                <c:pt idx="9">
                  <c:v>8.6019121175764851E-2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A-4D4E-AC8C-42122AF2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069472"/>
        <c:axId val="1325633904"/>
      </c:lineChart>
      <c:catAx>
        <c:axId val="20819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61648"/>
        <c:crosses val="autoZero"/>
        <c:auto val="1"/>
        <c:lblAlgn val="ctr"/>
        <c:lblOffset val="100"/>
        <c:noMultiLvlLbl val="0"/>
      </c:catAx>
      <c:valAx>
        <c:axId val="18196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72032"/>
        <c:crosses val="autoZero"/>
        <c:crossBetween val="between"/>
      </c:valAx>
      <c:valAx>
        <c:axId val="1325633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069472"/>
        <c:crosses val="max"/>
        <c:crossBetween val="between"/>
      </c:valAx>
      <c:catAx>
        <c:axId val="208206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5633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Police Budget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strRef>
              <c:f>Budgets!$A$2:$A$18</c:f>
              <c:strCache>
                <c:ptCount val="10"/>
                <c:pt idx="0">
                  <c:v>Victoria</c:v>
                </c:pt>
                <c:pt idx="1">
                  <c:v>Edmonton</c:v>
                </c:pt>
                <c:pt idx="2">
                  <c:v>Regina</c:v>
                </c:pt>
                <c:pt idx="3">
                  <c:v>Fredericton</c:v>
                </c:pt>
                <c:pt idx="4">
                  <c:v>Toronto</c:v>
                </c:pt>
                <c:pt idx="5">
                  <c:v>Winnipeg</c:v>
                </c:pt>
                <c:pt idx="6">
                  <c:v>Ottawa</c:v>
                </c:pt>
                <c:pt idx="7">
                  <c:v>Charlottetown</c:v>
                </c:pt>
                <c:pt idx="8">
                  <c:v>Quebec</c:v>
                </c:pt>
                <c:pt idx="9">
                  <c:v>Halifax</c:v>
                </c:pt>
              </c:strCache>
            </c:strRef>
          </c:cat>
          <c:val>
            <c:numRef>
              <c:f>Budgets!$L$2:$L$18</c:f>
              <c:numCache>
                <c:formatCode>"$"#,##0.00</c:formatCode>
                <c:ptCount val="10"/>
                <c:pt idx="0">
                  <c:v>908.0229026745186</c:v>
                </c:pt>
                <c:pt idx="1">
                  <c:v>576.0120447245472</c:v>
                </c:pt>
                <c:pt idx="2">
                  <c:v>540.89150368368053</c:v>
                </c:pt>
                <c:pt idx="3">
                  <c:v>492.29681855630901</c:v>
                </c:pt>
                <c:pt idx="4">
                  <c:v>479.19592206576397</c:v>
                </c:pt>
                <c:pt idx="5">
                  <c:v>452.06539826869277</c:v>
                </c:pt>
                <c:pt idx="6">
                  <c:v>434.8679884692009</c:v>
                </c:pt>
                <c:pt idx="7">
                  <c:v>408.46239274395117</c:v>
                </c:pt>
                <c:pt idx="8">
                  <c:v>317.76711274180605</c:v>
                </c:pt>
                <c:pt idx="9">
                  <c:v>260.82342963810112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E-4210-9BEF-AE1680EA4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81972032"/>
        <c:axId val="1819661648"/>
      </c:barChart>
      <c:catAx>
        <c:axId val="20819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61648"/>
        <c:crosses val="autoZero"/>
        <c:auto val="1"/>
        <c:lblAlgn val="ctr"/>
        <c:lblOffset val="100"/>
        <c:noMultiLvlLbl val="0"/>
      </c:catAx>
      <c:valAx>
        <c:axId val="18196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Police Budget</a:t>
            </a:r>
            <a:r>
              <a:rPr lang="en-US" baseline="0"/>
              <a:t> as Share of City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Budgets!$A$2:$A$18</c:f>
              <c:strCache>
                <c:ptCount val="10"/>
                <c:pt idx="0">
                  <c:v>Victoria</c:v>
                </c:pt>
                <c:pt idx="1">
                  <c:v>Edmonton</c:v>
                </c:pt>
                <c:pt idx="2">
                  <c:v>Regina</c:v>
                </c:pt>
                <c:pt idx="3">
                  <c:v>Fredericton</c:v>
                </c:pt>
                <c:pt idx="4">
                  <c:v>Toronto</c:v>
                </c:pt>
                <c:pt idx="5">
                  <c:v>Winnipeg</c:v>
                </c:pt>
                <c:pt idx="6">
                  <c:v>Ottawa</c:v>
                </c:pt>
                <c:pt idx="7">
                  <c:v>Charlottetown</c:v>
                </c:pt>
                <c:pt idx="8">
                  <c:v>Quebec</c:v>
                </c:pt>
                <c:pt idx="9">
                  <c:v>Halifax</c:v>
                </c:pt>
              </c:strCache>
            </c:strRef>
          </c:cat>
          <c:val>
            <c:numRef>
              <c:f>Budgets!$K$2:$K$18</c:f>
              <c:numCache>
                <c:formatCode>0.00%</c:formatCode>
                <c:ptCount val="10"/>
                <c:pt idx="0">
                  <c:v>0.23314162119812901</c:v>
                </c:pt>
                <c:pt idx="1">
                  <c:v>0.16229967227334377</c:v>
                </c:pt>
                <c:pt idx="2">
                  <c:v>0.1462104207459764</c:v>
                </c:pt>
                <c:pt idx="3">
                  <c:v>0.17247323618801283</c:v>
                </c:pt>
                <c:pt idx="4">
                  <c:v>0.19401899237178324</c:v>
                </c:pt>
                <c:pt idx="5">
                  <c:v>0.28140132977166699</c:v>
                </c:pt>
                <c:pt idx="6">
                  <c:v>8.8847317819283247E-2</c:v>
                </c:pt>
                <c:pt idx="7">
                  <c:v>0.18337200158700132</c:v>
                </c:pt>
                <c:pt idx="8">
                  <c:v>8.6632926466210181E-2</c:v>
                </c:pt>
                <c:pt idx="9">
                  <c:v>8.6019121175764851E-2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E-4021-9029-E9D1586D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81972032"/>
        <c:axId val="1819661648"/>
      </c:barChart>
      <c:catAx>
        <c:axId val="20819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61648"/>
        <c:crosses val="autoZero"/>
        <c:auto val="1"/>
        <c:lblAlgn val="ctr"/>
        <c:lblOffset val="100"/>
        <c:noMultiLvlLbl val="0"/>
      </c:catAx>
      <c:valAx>
        <c:axId val="18196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96</xdr:row>
      <xdr:rowOff>0</xdr:rowOff>
    </xdr:from>
    <xdr:to>
      <xdr:col>12</xdr:col>
      <xdr:colOff>200025</xdr:colOff>
      <xdr:row>100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DDC56-4CCF-CFD8-5E43-D719DCF24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7926050"/>
          <a:ext cx="20288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528638</xdr:colOff>
      <xdr:row>0</xdr:row>
      <xdr:rowOff>133351</xdr:rowOff>
    </xdr:from>
    <xdr:to>
      <xdr:col>17</xdr:col>
      <xdr:colOff>333376</xdr:colOff>
      <xdr:row>27</xdr:row>
      <xdr:rowOff>33618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E79583-156D-9800-2745-99879EC88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85725</xdr:rowOff>
    </xdr:from>
    <xdr:to>
      <xdr:col>12</xdr:col>
      <xdr:colOff>104774</xdr:colOff>
      <xdr:row>24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7B6A8-99EC-4CD2-9151-1C5D4F4AD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9523</xdr:rowOff>
    </xdr:from>
    <xdr:to>
      <xdr:col>11</xdr:col>
      <xdr:colOff>114300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C9978-3DA8-4743-AF3E-45CCCEC24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11206</xdr:colOff>
      <xdr:row>40</xdr:row>
      <xdr:rowOff>145676</xdr:rowOff>
    </xdr:from>
    <xdr:to>
      <xdr:col>11</xdr:col>
      <xdr:colOff>11206</xdr:colOff>
      <xdr:row>64</xdr:row>
      <xdr:rowOff>74520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38649-0FA8-4857-B3DA-CF9E45F98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33618</xdr:colOff>
      <xdr:row>41</xdr:row>
      <xdr:rowOff>1</xdr:rowOff>
    </xdr:from>
    <xdr:to>
      <xdr:col>20</xdr:col>
      <xdr:colOff>33618</xdr:colOff>
      <xdr:row>64</xdr:row>
      <xdr:rowOff>56029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AF54F4-AA16-4DC4-8896-6E0EC0127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ottawa.ca/pages/budget-explorer" TargetMode="External"/><Relationship Id="rId13" Type="http://schemas.openxmlformats.org/officeDocument/2006/relationships/hyperlink" Target="https://www.sidney.ca/wp-content/uploads/2024-Public-Binder-Final.pdf" TargetMode="External"/><Relationship Id="rId3" Type="http://schemas.openxmlformats.org/officeDocument/2006/relationships/hyperlink" Target="https://www.calgary.ca/our-finances/2026-budget.html" TargetMode="External"/><Relationship Id="rId7" Type="http://schemas.openxmlformats.org/officeDocument/2006/relationships/hyperlink" Target="https://www.toronto.ca/wp-content/uploads/2026/05/8f04-2026-City-of-Toronto-Budget-Summary.pdf" TargetMode="External"/><Relationship Id="rId12" Type="http://schemas.openxmlformats.org/officeDocument/2006/relationships/hyperlink" Target="https://www.centralsaanich.ca/sites/default/files/2026-03/2026%20Central%20Saanich%20Financial%20Plan%20DRAFT.pdf" TargetMode="External"/><Relationship Id="rId2" Type="http://schemas.openxmlformats.org/officeDocument/2006/relationships/hyperlink" Target="https://vancouver.ca/files/cov/2026-budget.pdf" TargetMode="External"/><Relationship Id="rId1" Type="http://schemas.openxmlformats.org/officeDocument/2006/relationships/hyperlink" Target="https://www.victoria.ca/media/file/2026-2030-financial-plan" TargetMode="External"/><Relationship Id="rId6" Type="http://schemas.openxmlformats.org/officeDocument/2006/relationships/hyperlink" Target="https://www.winnipeg.ca/media/6207" TargetMode="External"/><Relationship Id="rId11" Type="http://schemas.openxmlformats.org/officeDocument/2006/relationships/hyperlink" Target="https://cdn.halifax.ca/sites/default/files/documents/city-hall/budget-finances/2026-27-budget-and-business-plan_web_final_0.pdf" TargetMode="External"/><Relationship Id="rId5" Type="http://schemas.openxmlformats.org/officeDocument/2006/relationships/hyperlink" Target="https://reginafiles.blob.core.windows.net/media/budgets/Budget%20Book%202026.pdf" TargetMode="External"/><Relationship Id="rId15" Type="http://schemas.openxmlformats.org/officeDocument/2006/relationships/hyperlink" Target="https://www.saanich.ca/assets/Local~Government/Documents/2026%20Adopted%20Financial%20Plan.pdf" TargetMode="External"/><Relationship Id="rId10" Type="http://schemas.openxmlformats.org/officeDocument/2006/relationships/hyperlink" Target="https://mtl.ged.montreal.ca/constellio/?collection=mtlca&amp;portal=REPDOCVDM" TargetMode="External"/><Relationship Id="rId4" Type="http://schemas.openxmlformats.org/officeDocument/2006/relationships/hyperlink" Target="https://www.edmonton.ca/sites/default/files/public-files/documents/2026-approved-operating-budget-april.pdf" TargetMode="External"/><Relationship Id="rId9" Type="http://schemas.openxmlformats.org/officeDocument/2006/relationships/hyperlink" Target="https://www.ville.quebec.qc.ca/apropos/profil-financier/docs/budget2026-Detaille.pdf" TargetMode="External"/><Relationship Id="rId14" Type="http://schemas.openxmlformats.org/officeDocument/2006/relationships/hyperlink" Target="https://northsaanich.ca/wp-content/uploads/2026-2030-Financial-Pla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O31"/>
  <sheetViews>
    <sheetView zoomScaleNormal="100" workbookViewId="0">
      <selection activeCell="K1" sqref="K1"/>
    </sheetView>
  </sheetViews>
  <sheetFormatPr defaultColWidth="12.5703125" defaultRowHeight="15.75" customHeight="1"/>
  <cols>
    <col min="2" max="3" width="3.7109375" style="10" customWidth="1"/>
    <col min="4" max="4" width="3.7109375" customWidth="1"/>
    <col min="5" max="5" width="3.7109375" style="10" customWidth="1"/>
    <col min="8" max="8" width="16.42578125" customWidth="1"/>
    <col min="9" max="9" width="18.42578125" customWidth="1"/>
    <col min="12" max="12" width="8.85546875" customWidth="1"/>
    <col min="13" max="13" width="9.140625" customWidth="1"/>
  </cols>
  <sheetData>
    <row r="1" spans="1:14" ht="12.75">
      <c r="B1" s="10" t="s">
        <v>36</v>
      </c>
      <c r="C1" s="10" t="s">
        <v>38</v>
      </c>
      <c r="D1" t="s">
        <v>37</v>
      </c>
      <c r="E1" s="33" t="s">
        <v>43</v>
      </c>
      <c r="F1" s="1">
        <v>2025</v>
      </c>
      <c r="G1" s="1">
        <v>2026</v>
      </c>
      <c r="H1" s="1" t="s">
        <v>0</v>
      </c>
      <c r="I1" s="1" t="s">
        <v>1</v>
      </c>
      <c r="J1" s="1" t="s">
        <v>185</v>
      </c>
      <c r="K1" s="1" t="s">
        <v>2</v>
      </c>
      <c r="L1" s="1" t="s">
        <v>3</v>
      </c>
      <c r="M1" s="8" t="s">
        <v>42</v>
      </c>
      <c r="N1" s="1" t="s">
        <v>4</v>
      </c>
    </row>
    <row r="2" spans="1:14" ht="12.75">
      <c r="A2" s="1" t="s">
        <v>5</v>
      </c>
      <c r="B2" s="11">
        <v>1</v>
      </c>
      <c r="C2" s="11"/>
      <c r="D2" s="2">
        <v>1</v>
      </c>
      <c r="E2" s="34">
        <v>1</v>
      </c>
      <c r="F2" s="2">
        <v>83417340</v>
      </c>
      <c r="G2" s="2">
        <v>94989170</v>
      </c>
      <c r="H2" s="2">
        <v>91867</v>
      </c>
      <c r="I2" s="2">
        <v>357796860</v>
      </c>
      <c r="J2" s="3" t="s">
        <v>6</v>
      </c>
      <c r="K2" s="4">
        <f t="shared" ref="K2:K26" si="0">F2/I2</f>
        <v>0.23314162119812901</v>
      </c>
      <c r="L2" s="5">
        <f t="shared" ref="L2:L13" si="1">F2/H2</f>
        <v>908.0229026745186</v>
      </c>
      <c r="M2" s="4">
        <f t="shared" ref="M2:M13" si="2">(G2-F2)/F2</f>
        <v>0.13872211700828629</v>
      </c>
    </row>
    <row r="3" spans="1:14" ht="12.75" hidden="1">
      <c r="A3" s="1" t="s">
        <v>7</v>
      </c>
      <c r="B3" s="11"/>
      <c r="C3" s="11"/>
      <c r="F3" s="2">
        <v>479100000</v>
      </c>
      <c r="G3" s="2">
        <v>525300000</v>
      </c>
      <c r="H3" s="2">
        <v>662248</v>
      </c>
      <c r="I3" s="2">
        <v>2342700000</v>
      </c>
      <c r="J3" s="3" t="s">
        <v>8</v>
      </c>
      <c r="K3" s="4">
        <f t="shared" si="0"/>
        <v>0.20450761941349724</v>
      </c>
      <c r="L3" s="5">
        <f t="shared" si="1"/>
        <v>723.44499341636367</v>
      </c>
      <c r="M3" s="4">
        <f t="shared" si="2"/>
        <v>9.6430807764558549E-2</v>
      </c>
    </row>
    <row r="4" spans="1:14" ht="12.75">
      <c r="A4" s="1" t="s">
        <v>11</v>
      </c>
      <c r="B4" s="11">
        <v>1</v>
      </c>
      <c r="C4" s="11">
        <v>1</v>
      </c>
      <c r="F4" s="2">
        <v>582290000</v>
      </c>
      <c r="G4" s="2">
        <v>627920000</v>
      </c>
      <c r="H4" s="2">
        <v>1010899</v>
      </c>
      <c r="I4" s="2">
        <v>3587746000</v>
      </c>
      <c r="J4" s="3" t="s">
        <v>12</v>
      </c>
      <c r="K4" s="4">
        <f t="shared" si="0"/>
        <v>0.16229967227334377</v>
      </c>
      <c r="L4" s="5">
        <f t="shared" si="1"/>
        <v>576.0120447245472</v>
      </c>
      <c r="M4" s="4">
        <f t="shared" si="2"/>
        <v>7.8363014992529498E-2</v>
      </c>
    </row>
    <row r="5" spans="1:14" ht="12.75">
      <c r="A5" s="1" t="s">
        <v>13</v>
      </c>
      <c r="B5" s="11">
        <v>1</v>
      </c>
      <c r="C5" s="11"/>
      <c r="F5" s="2">
        <v>122460000</v>
      </c>
      <c r="G5" s="2">
        <v>131900000</v>
      </c>
      <c r="H5" s="2">
        <v>226404</v>
      </c>
      <c r="I5" s="2">
        <v>837560000</v>
      </c>
      <c r="J5" s="3" t="s">
        <v>14</v>
      </c>
      <c r="K5" s="4">
        <f t="shared" si="0"/>
        <v>0.1462104207459764</v>
      </c>
      <c r="L5" s="5">
        <f t="shared" si="1"/>
        <v>540.89150368368053</v>
      </c>
      <c r="M5" s="4">
        <f t="shared" si="2"/>
        <v>7.7086395557733139E-2</v>
      </c>
    </row>
    <row r="6" spans="1:14" ht="12.75" hidden="1">
      <c r="A6" s="1" t="s">
        <v>9</v>
      </c>
      <c r="B6" s="11"/>
      <c r="C6" s="11">
        <v>1</v>
      </c>
      <c r="F6" s="2">
        <v>648000000</v>
      </c>
      <c r="G6" s="2">
        <v>678000000</v>
      </c>
      <c r="H6" s="2">
        <v>1306784</v>
      </c>
      <c r="I6" s="2">
        <v>4559000000</v>
      </c>
      <c r="J6" s="3" t="s">
        <v>10</v>
      </c>
      <c r="K6" s="4">
        <f t="shared" si="0"/>
        <v>0.14213643342838342</v>
      </c>
      <c r="L6" s="5">
        <f t="shared" si="1"/>
        <v>495.87383990009062</v>
      </c>
      <c r="M6" s="4">
        <f t="shared" si="2"/>
        <v>4.6296296296296294E-2</v>
      </c>
    </row>
    <row r="7" spans="1:14" ht="12.75">
      <c r="A7" s="8" t="s">
        <v>41</v>
      </c>
      <c r="B7" s="10">
        <v>1</v>
      </c>
      <c r="F7" s="2">
        <f>8381474+5607748+8929586+8152998</f>
        <v>31071806</v>
      </c>
      <c r="G7" s="2">
        <f>6318553+6290268+6135374+7880084</f>
        <v>26624279</v>
      </c>
      <c r="H7" s="9">
        <v>63116</v>
      </c>
      <c r="I7" s="9">
        <v>180154363</v>
      </c>
      <c r="J7" s="7" t="s">
        <v>183</v>
      </c>
      <c r="K7" s="4">
        <f t="shared" si="0"/>
        <v>0.17247323618801283</v>
      </c>
      <c r="L7" s="5">
        <f t="shared" si="1"/>
        <v>492.29681855630901</v>
      </c>
      <c r="M7" s="4">
        <f t="shared" si="2"/>
        <v>-0.14313706129601864</v>
      </c>
    </row>
    <row r="8" spans="1:14" ht="12.75">
      <c r="A8" s="1" t="s">
        <v>17</v>
      </c>
      <c r="B8" s="11">
        <v>1</v>
      </c>
      <c r="C8" s="11">
        <v>1</v>
      </c>
      <c r="F8" s="2">
        <v>1339044000</v>
      </c>
      <c r="G8" s="2">
        <v>1432872000</v>
      </c>
      <c r="H8" s="2">
        <v>2794356</v>
      </c>
      <c r="I8" s="2">
        <v>6901613000</v>
      </c>
      <c r="J8" s="3" t="s">
        <v>18</v>
      </c>
      <c r="K8" s="4">
        <f t="shared" si="0"/>
        <v>0.19401899237178324</v>
      </c>
      <c r="L8" s="5">
        <f t="shared" si="1"/>
        <v>479.19592206576397</v>
      </c>
      <c r="M8" s="4">
        <f t="shared" si="2"/>
        <v>7.0070886393576309E-2</v>
      </c>
    </row>
    <row r="9" spans="1:14" ht="12.75" hidden="1">
      <c r="A9" s="1" t="s">
        <v>23</v>
      </c>
      <c r="B9" s="11"/>
      <c r="C9" s="11">
        <v>1</v>
      </c>
      <c r="F9" s="2">
        <v>824074300</v>
      </c>
      <c r="G9" s="2">
        <v>860286400</v>
      </c>
      <c r="H9" s="2">
        <v>1762949</v>
      </c>
      <c r="I9" s="6">
        <v>3647584300</v>
      </c>
      <c r="J9" s="3" t="s">
        <v>24</v>
      </c>
      <c r="K9" s="4">
        <f t="shared" si="0"/>
        <v>0.22592330491169182</v>
      </c>
      <c r="L9" s="5">
        <f t="shared" si="1"/>
        <v>467.44080515091474</v>
      </c>
      <c r="M9" s="4">
        <f t="shared" si="2"/>
        <v>4.3942760986479014E-2</v>
      </c>
    </row>
    <row r="10" spans="1:14" ht="12.75">
      <c r="A10" s="1" t="s">
        <v>15</v>
      </c>
      <c r="B10" s="11">
        <v>1</v>
      </c>
      <c r="C10" s="11"/>
      <c r="F10" s="2">
        <v>338871387</v>
      </c>
      <c r="G10" s="2">
        <v>356228206</v>
      </c>
      <c r="H10" s="2">
        <v>749607</v>
      </c>
      <c r="I10" s="2">
        <v>1204228094</v>
      </c>
      <c r="J10" s="3" t="s">
        <v>16</v>
      </c>
      <c r="K10" s="4">
        <f t="shared" si="0"/>
        <v>0.28140132977166699</v>
      </c>
      <c r="L10" s="5">
        <f t="shared" si="1"/>
        <v>452.06539826869277</v>
      </c>
      <c r="M10" s="4">
        <f t="shared" si="2"/>
        <v>5.1219488177088261E-2</v>
      </c>
    </row>
    <row r="11" spans="1:14" ht="12.75">
      <c r="A11" s="1" t="s">
        <v>19</v>
      </c>
      <c r="B11" s="11">
        <v>1</v>
      </c>
      <c r="C11" s="11">
        <v>1</v>
      </c>
      <c r="F11" s="2">
        <v>442456000</v>
      </c>
      <c r="G11" s="2">
        <v>478709000</v>
      </c>
      <c r="H11" s="2">
        <v>1017449</v>
      </c>
      <c r="I11" s="2">
        <v>4979959000</v>
      </c>
      <c r="J11" s="3" t="s">
        <v>20</v>
      </c>
      <c r="K11" s="4">
        <f t="shared" si="0"/>
        <v>8.8847317819283247E-2</v>
      </c>
      <c r="L11" s="5">
        <f t="shared" si="1"/>
        <v>434.8679884692009</v>
      </c>
      <c r="M11" s="4">
        <f t="shared" si="2"/>
        <v>8.1935830907480064E-2</v>
      </c>
    </row>
    <row r="12" spans="1:14" ht="12.75">
      <c r="A12" s="1" t="s">
        <v>182</v>
      </c>
      <c r="B12" s="11">
        <v>1</v>
      </c>
      <c r="C12" s="11"/>
      <c r="F12" s="2">
        <v>15852017</v>
      </c>
      <c r="G12" s="2">
        <v>15932370</v>
      </c>
      <c r="H12" s="2">
        <v>38809</v>
      </c>
      <c r="I12" s="2">
        <v>86447314</v>
      </c>
      <c r="J12" s="3" t="s">
        <v>184</v>
      </c>
      <c r="K12" s="4">
        <f>F12/I12</f>
        <v>0.18337200158700132</v>
      </c>
      <c r="L12" s="5">
        <f>F12/H12</f>
        <v>408.46239274395117</v>
      </c>
      <c r="M12" s="4">
        <f>(G12-F12)/F12</f>
        <v>5.0689448541469517E-3</v>
      </c>
    </row>
    <row r="13" spans="1:14" ht="12.75">
      <c r="A13" s="1" t="s">
        <v>21</v>
      </c>
      <c r="B13" s="11">
        <v>1</v>
      </c>
      <c r="C13" s="11"/>
      <c r="F13" s="2">
        <v>174600000</v>
      </c>
      <c r="G13" s="2">
        <v>186700000</v>
      </c>
      <c r="H13" s="2">
        <v>549459</v>
      </c>
      <c r="I13" s="2">
        <v>2015400000</v>
      </c>
      <c r="J13" s="3" t="s">
        <v>22</v>
      </c>
      <c r="K13" s="4">
        <f t="shared" si="0"/>
        <v>8.6632926466210181E-2</v>
      </c>
      <c r="L13" s="5">
        <f t="shared" si="1"/>
        <v>317.76711274180605</v>
      </c>
      <c r="M13" s="4">
        <f t="shared" si="2"/>
        <v>6.9301260022909511E-2</v>
      </c>
    </row>
    <row r="14" spans="1:14" ht="12.75" hidden="1">
      <c r="A14" s="1" t="s">
        <v>27</v>
      </c>
      <c r="B14" s="11"/>
      <c r="C14" s="11"/>
      <c r="D14">
        <v>1</v>
      </c>
      <c r="F14" s="2">
        <v>8207700</v>
      </c>
      <c r="G14" s="2">
        <v>8949100</v>
      </c>
      <c r="H14" s="2">
        <v>17385</v>
      </c>
      <c r="I14" s="2">
        <v>35085600</v>
      </c>
      <c r="J14" s="3" t="s">
        <v>28</v>
      </c>
      <c r="K14" s="4">
        <f t="shared" ref="K14:K17" si="3">F14/I14</f>
        <v>0.23393357958820712</v>
      </c>
      <c r="L14" s="5">
        <f t="shared" ref="L14:L17" si="4">F14/H14</f>
        <v>472.11389128559102</v>
      </c>
      <c r="M14" s="4">
        <f t="shared" ref="M14:M17" si="5">(G14-F14)/F14</f>
        <v>9.0329812249473063E-2</v>
      </c>
    </row>
    <row r="15" spans="1:14" ht="12.75" hidden="1">
      <c r="A15" s="1" t="s">
        <v>29</v>
      </c>
      <c r="B15" s="11"/>
      <c r="C15" s="11"/>
      <c r="D15">
        <v>1</v>
      </c>
      <c r="F15" s="2">
        <v>3433726</v>
      </c>
      <c r="G15" s="2">
        <v>3630895</v>
      </c>
      <c r="H15" s="2">
        <v>12318</v>
      </c>
      <c r="I15" s="2">
        <v>23832216</v>
      </c>
      <c r="J15" s="3" t="s">
        <v>30</v>
      </c>
      <c r="K15" s="4">
        <f t="shared" si="3"/>
        <v>0.14407917417331229</v>
      </c>
      <c r="L15" s="5">
        <f t="shared" si="4"/>
        <v>278.75677869784056</v>
      </c>
      <c r="M15" s="4">
        <f t="shared" si="5"/>
        <v>5.7421296865271136E-2</v>
      </c>
    </row>
    <row r="16" spans="1:14" ht="12.75" hidden="1">
      <c r="A16" s="1" t="s">
        <v>31</v>
      </c>
      <c r="B16" s="11"/>
      <c r="C16" s="11"/>
      <c r="D16">
        <v>1</v>
      </c>
      <c r="F16" s="2" t="s">
        <v>32</v>
      </c>
      <c r="G16" s="2"/>
      <c r="H16" s="2"/>
      <c r="I16" s="2">
        <v>3085750</v>
      </c>
      <c r="J16" s="3" t="s">
        <v>33</v>
      </c>
      <c r="K16" s="4" t="e">
        <f t="shared" si="3"/>
        <v>#VALUE!</v>
      </c>
      <c r="L16" s="5" t="e">
        <f t="shared" si="4"/>
        <v>#VALUE!</v>
      </c>
      <c r="M16" s="4" t="e">
        <f t="shared" si="5"/>
        <v>#VALUE!</v>
      </c>
    </row>
    <row r="17" spans="1:15" ht="12.75" hidden="1">
      <c r="A17" s="1" t="s">
        <v>34</v>
      </c>
      <c r="B17" s="11"/>
      <c r="C17" s="11"/>
      <c r="D17">
        <v>1</v>
      </c>
      <c r="F17" s="2">
        <v>50839800</v>
      </c>
      <c r="G17" s="2">
        <v>53990800</v>
      </c>
      <c r="H17" s="2">
        <v>117735</v>
      </c>
      <c r="I17" s="6">
        <v>241588500</v>
      </c>
      <c r="J17" s="3" t="s">
        <v>35</v>
      </c>
      <c r="K17" s="4">
        <f t="shared" si="3"/>
        <v>0.21043965254968677</v>
      </c>
      <c r="L17" s="5">
        <f t="shared" si="4"/>
        <v>431.81551790036946</v>
      </c>
      <c r="M17" s="4">
        <f t="shared" si="5"/>
        <v>6.1979000704172713E-2</v>
      </c>
    </row>
    <row r="18" spans="1:15" ht="12.75">
      <c r="A18" s="1" t="s">
        <v>25</v>
      </c>
      <c r="B18" s="11">
        <v>1</v>
      </c>
      <c r="C18" s="11"/>
      <c r="F18" s="2">
        <v>114715100</v>
      </c>
      <c r="G18" s="2">
        <v>115579700</v>
      </c>
      <c r="H18" s="2">
        <v>439819</v>
      </c>
      <c r="I18" s="2">
        <v>1333600000</v>
      </c>
      <c r="J18" s="3" t="s">
        <v>26</v>
      </c>
      <c r="K18" s="4">
        <f t="shared" si="0"/>
        <v>8.6019121175764851E-2</v>
      </c>
      <c r="L18" s="5">
        <f t="shared" ref="L18:L26" si="6">F18/H18</f>
        <v>260.82342963810112</v>
      </c>
      <c r="M18" s="4">
        <f t="shared" ref="M18:M26" si="7">(G18-F18)/F18</f>
        <v>7.5369328013487327E-3</v>
      </c>
    </row>
    <row r="19" spans="1:15" ht="15.75" customHeight="1">
      <c r="A19" s="8" t="s">
        <v>39</v>
      </c>
      <c r="B19" s="10">
        <v>1</v>
      </c>
      <c r="F19" s="35">
        <v>0</v>
      </c>
      <c r="G19" s="35"/>
      <c r="H19" s="2">
        <v>110525</v>
      </c>
      <c r="I19" s="2"/>
      <c r="K19" s="4" t="e">
        <f t="shared" si="0"/>
        <v>#DIV/0!</v>
      </c>
      <c r="L19" s="5">
        <f t="shared" si="6"/>
        <v>0</v>
      </c>
      <c r="M19" s="4" t="e">
        <f t="shared" si="7"/>
        <v>#DIV/0!</v>
      </c>
      <c r="N19" s="7" t="s">
        <v>40</v>
      </c>
    </row>
    <row r="20" spans="1:15" ht="15.75" hidden="1" customHeight="1">
      <c r="A20" s="8" t="s">
        <v>44</v>
      </c>
      <c r="E20" s="10">
        <v>1</v>
      </c>
      <c r="F20" s="18" t="s">
        <v>51</v>
      </c>
      <c r="G20" s="17"/>
      <c r="H20" s="12">
        <v>94415</v>
      </c>
      <c r="K20" s="4" t="e">
        <f t="shared" si="0"/>
        <v>#VALUE!</v>
      </c>
      <c r="L20" s="5" t="e">
        <f t="shared" si="6"/>
        <v>#VALUE!</v>
      </c>
      <c r="M20" s="4" t="e">
        <f t="shared" si="7"/>
        <v>#VALUE!</v>
      </c>
    </row>
    <row r="21" spans="1:15" ht="15.75" hidden="1" customHeight="1">
      <c r="A21" s="8" t="s">
        <v>45</v>
      </c>
      <c r="E21" s="10">
        <v>1</v>
      </c>
      <c r="F21" s="2">
        <v>33981703</v>
      </c>
      <c r="G21" s="2">
        <v>35600411</v>
      </c>
      <c r="H21" s="12">
        <v>93694</v>
      </c>
      <c r="I21" s="9">
        <v>187850713</v>
      </c>
      <c r="J21" t="s">
        <v>52</v>
      </c>
      <c r="K21" s="4">
        <f t="shared" si="0"/>
        <v>0.18089738631974212</v>
      </c>
      <c r="L21" s="5">
        <f t="shared" si="6"/>
        <v>362.68814438491256</v>
      </c>
      <c r="M21" s="4">
        <f t="shared" si="7"/>
        <v>4.7634693293623333E-2</v>
      </c>
    </row>
    <row r="22" spans="1:15" ht="15.75" hidden="1" customHeight="1">
      <c r="A22" s="8" t="s">
        <v>46</v>
      </c>
      <c r="E22" s="10">
        <v>1</v>
      </c>
      <c r="F22" s="14">
        <v>54898650</v>
      </c>
      <c r="G22" s="14">
        <v>54898650</v>
      </c>
      <c r="H22" s="12">
        <v>93203</v>
      </c>
      <c r="I22" s="14">
        <v>253377300</v>
      </c>
      <c r="J22" t="s">
        <v>53</v>
      </c>
      <c r="K22" s="4">
        <f t="shared" si="0"/>
        <v>0.21666759413728065</v>
      </c>
      <c r="L22" s="5">
        <f t="shared" si="6"/>
        <v>589.02234906601723</v>
      </c>
      <c r="M22" s="4">
        <f t="shared" si="7"/>
        <v>0</v>
      </c>
      <c r="O22" s="7" t="s">
        <v>54</v>
      </c>
    </row>
    <row r="23" spans="1:15" ht="15.75" hidden="1" customHeight="1">
      <c r="A23" s="8" t="s">
        <v>47</v>
      </c>
      <c r="E23" s="10">
        <v>1</v>
      </c>
      <c r="F23" s="13"/>
      <c r="G23" s="13"/>
      <c r="H23" s="12">
        <v>91525</v>
      </c>
      <c r="I23" s="13"/>
      <c r="K23" s="4" t="e">
        <f t="shared" si="0"/>
        <v>#DIV/0!</v>
      </c>
      <c r="L23" s="5">
        <f t="shared" si="6"/>
        <v>0</v>
      </c>
      <c r="M23" s="4" t="e">
        <f t="shared" si="7"/>
        <v>#DIV/0!</v>
      </c>
      <c r="O23" s="7" t="s">
        <v>55</v>
      </c>
    </row>
    <row r="24" spans="1:15" ht="15.75" hidden="1" customHeight="1">
      <c r="A24" s="8" t="s">
        <v>48</v>
      </c>
      <c r="E24" s="10">
        <v>1</v>
      </c>
      <c r="F24" s="15"/>
      <c r="G24" s="14"/>
      <c r="H24" s="12">
        <v>90990</v>
      </c>
      <c r="I24" s="13"/>
      <c r="K24" s="4" t="e">
        <f t="shared" si="0"/>
        <v>#DIV/0!</v>
      </c>
      <c r="L24" s="5">
        <f t="shared" si="6"/>
        <v>0</v>
      </c>
      <c r="M24" s="4" t="e">
        <f t="shared" si="7"/>
        <v>#DIV/0!</v>
      </c>
      <c r="O24" s="7" t="s">
        <v>56</v>
      </c>
    </row>
    <row r="25" spans="1:15" ht="15.75" hidden="1" customHeight="1">
      <c r="A25" s="8" t="s">
        <v>49</v>
      </c>
      <c r="E25" s="10">
        <v>1</v>
      </c>
      <c r="F25" s="14">
        <v>20739205</v>
      </c>
      <c r="G25" s="14">
        <v>21589341</v>
      </c>
      <c r="H25" s="12">
        <v>88168</v>
      </c>
      <c r="I25" s="14">
        <v>110460302</v>
      </c>
      <c r="J25" t="s">
        <v>57</v>
      </c>
      <c r="K25" s="4">
        <f t="shared" si="0"/>
        <v>0.18775256471777527</v>
      </c>
      <c r="L25" s="5">
        <f t="shared" si="6"/>
        <v>235.22372062426277</v>
      </c>
      <c r="M25" s="4">
        <f t="shared" si="7"/>
        <v>4.0991735218394339E-2</v>
      </c>
    </row>
    <row r="26" spans="1:15" ht="15.75" hidden="1" customHeight="1">
      <c r="A26" s="8" t="s">
        <v>50</v>
      </c>
      <c r="E26" s="10">
        <v>1</v>
      </c>
      <c r="F26" s="13"/>
      <c r="G26" s="13"/>
      <c r="H26" s="12">
        <v>87942</v>
      </c>
      <c r="I26" s="13"/>
      <c r="K26" s="4" t="e">
        <f t="shared" si="0"/>
        <v>#DIV/0!</v>
      </c>
      <c r="L26" s="5">
        <f t="shared" si="6"/>
        <v>0</v>
      </c>
      <c r="M26" s="4" t="e">
        <f t="shared" si="7"/>
        <v>#DIV/0!</v>
      </c>
    </row>
    <row r="27" spans="1:15" ht="15.75" hidden="1" customHeight="1"/>
    <row r="28" spans="1:15" ht="15.75" hidden="1" customHeight="1"/>
    <row r="29" spans="1:15" ht="15.75" hidden="1" customHeight="1"/>
    <row r="30" spans="1:15" ht="15.75" hidden="1" customHeight="1"/>
    <row r="31" spans="1:15" ht="15.75" hidden="1" customHeight="1"/>
  </sheetData>
  <autoFilter ref="A1:O31" xr:uid="{00000000-0001-0000-0000-000000000000}">
    <filterColumn colId="1">
      <customFilters>
        <customFilter operator="notEqual" val=" "/>
      </customFilters>
    </filterColumn>
    <sortState xmlns:xlrd2="http://schemas.microsoft.com/office/spreadsheetml/2017/richdata2" ref="A2:O31">
      <sortCondition descending="1" ref="L1:L31"/>
    </sortState>
  </autoFilter>
  <hyperlinks>
    <hyperlink ref="J2" r:id="rId1" xr:uid="{00000000-0004-0000-0000-000000000000}"/>
    <hyperlink ref="J3" r:id="rId2" xr:uid="{00000000-0004-0000-0000-000001000000}"/>
    <hyperlink ref="J6" r:id="rId3" location="resources" xr:uid="{00000000-0004-0000-0000-000002000000}"/>
    <hyperlink ref="J4" r:id="rId4" xr:uid="{00000000-0004-0000-0000-000003000000}"/>
    <hyperlink ref="J5" r:id="rId5" xr:uid="{00000000-0004-0000-0000-000004000000}"/>
    <hyperlink ref="J10" r:id="rId6" xr:uid="{00000000-0004-0000-0000-000005000000}"/>
    <hyperlink ref="J8" r:id="rId7" xr:uid="{00000000-0004-0000-0000-000006000000}"/>
    <hyperlink ref="J11" r:id="rId8" location="1" xr:uid="{00000000-0004-0000-0000-000007000000}"/>
    <hyperlink ref="J13" r:id="rId9" xr:uid="{00000000-0004-0000-0000-000008000000}"/>
    <hyperlink ref="J9" r:id="rId10" location="!displayDocument/00000133583" xr:uid="{00000000-0004-0000-0000-000009000000}"/>
    <hyperlink ref="J18" r:id="rId11" xr:uid="{00000000-0004-0000-0000-00000A000000}"/>
    <hyperlink ref="J14" r:id="rId12" xr:uid="{00000000-0004-0000-0000-00000B000000}"/>
    <hyperlink ref="J15" r:id="rId13" xr:uid="{00000000-0004-0000-0000-00000C000000}"/>
    <hyperlink ref="J16" r:id="rId14" xr:uid="{00000000-0004-0000-0000-00000D000000}"/>
    <hyperlink ref="J17" r:id="rId15" xr:uid="{00000000-0004-0000-0000-00000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59EE-1376-46B3-9B84-393AC66ECA7F}">
  <dimension ref="A1:S79"/>
  <sheetViews>
    <sheetView tabSelected="1" zoomScaleNormal="100" workbookViewId="0">
      <selection activeCell="N10" sqref="N10"/>
    </sheetView>
  </sheetViews>
  <sheetFormatPr defaultRowHeight="12.75"/>
  <cols>
    <col min="1" max="1" width="17" customWidth="1"/>
    <col min="3" max="3" width="8.5703125" customWidth="1"/>
    <col min="4" max="5" width="9.140625" hidden="1" customWidth="1"/>
    <col min="9" max="9" width="16" bestFit="1" customWidth="1"/>
    <col min="10" max="10" width="9.28515625" bestFit="1" customWidth="1"/>
    <col min="16" max="16" width="14" bestFit="1" customWidth="1"/>
    <col min="17" max="17" width="12.5703125" customWidth="1"/>
  </cols>
  <sheetData>
    <row r="1" spans="1:19">
      <c r="A1" t="s">
        <v>99</v>
      </c>
      <c r="B1" s="16" t="s">
        <v>100</v>
      </c>
      <c r="C1" s="16" t="s">
        <v>101</v>
      </c>
      <c r="D1" s="16" t="s">
        <v>102</v>
      </c>
      <c r="E1" s="16" t="s">
        <v>103</v>
      </c>
      <c r="F1" s="16" t="s">
        <v>104</v>
      </c>
      <c r="G1" s="16" t="s">
        <v>105</v>
      </c>
      <c r="H1" s="16" t="s">
        <v>106</v>
      </c>
      <c r="I1" t="s">
        <v>107</v>
      </c>
      <c r="J1" t="s">
        <v>108</v>
      </c>
      <c r="L1" t="s">
        <v>142</v>
      </c>
      <c r="M1" t="s">
        <v>143</v>
      </c>
      <c r="N1" s="7" t="s">
        <v>149</v>
      </c>
      <c r="O1" s="7" t="s">
        <v>154</v>
      </c>
      <c r="P1" s="7" t="s">
        <v>155</v>
      </c>
      <c r="Q1" s="7" t="s">
        <v>156</v>
      </c>
    </row>
    <row r="2" spans="1:19">
      <c r="A2" t="s">
        <v>5</v>
      </c>
      <c r="B2">
        <v>122157</v>
      </c>
      <c r="C2">
        <v>257</v>
      </c>
      <c r="D2">
        <v>257</v>
      </c>
      <c r="E2">
        <v>475</v>
      </c>
      <c r="F2">
        <v>10642</v>
      </c>
      <c r="G2">
        <v>87</v>
      </c>
      <c r="H2">
        <v>41</v>
      </c>
      <c r="I2" s="36">
        <v>77147339</v>
      </c>
      <c r="J2" s="36">
        <v>632</v>
      </c>
      <c r="K2" t="s">
        <v>140</v>
      </c>
      <c r="L2">
        <f t="shared" ref="L2:L40" si="0">B2/D2</f>
        <v>475.31906614785993</v>
      </c>
      <c r="M2" s="16">
        <f t="shared" ref="M2:M33" si="1">10000*C2/B2</f>
        <v>21.038499635714697</v>
      </c>
      <c r="N2">
        <v>1</v>
      </c>
      <c r="O2">
        <f t="shared" ref="O2:O33" si="2">IF(K2="RCMP",IF(B2&gt;15000,I2/0.9,I2/0.7),I2)</f>
        <v>77147339</v>
      </c>
      <c r="P2" s="37">
        <f t="shared" ref="P2:P33" si="3">I2/F2</f>
        <v>7249.327100169141</v>
      </c>
      <c r="Q2" s="38">
        <f t="shared" ref="Q2:Q33" si="4">I2/G2</f>
        <v>886751.02298850578</v>
      </c>
      <c r="S2" s="38"/>
    </row>
    <row r="3" spans="1:19">
      <c r="A3" t="s">
        <v>177</v>
      </c>
      <c r="B3">
        <v>12925</v>
      </c>
      <c r="C3">
        <v>36</v>
      </c>
      <c r="D3">
        <v>36</v>
      </c>
      <c r="E3">
        <v>359</v>
      </c>
      <c r="F3">
        <v>1785</v>
      </c>
      <c r="G3">
        <v>138</v>
      </c>
      <c r="H3">
        <v>50</v>
      </c>
      <c r="I3" s="39">
        <v>7884514</v>
      </c>
      <c r="J3" s="39">
        <v>610</v>
      </c>
      <c r="K3" t="s">
        <v>141</v>
      </c>
      <c r="L3">
        <f t="shared" si="0"/>
        <v>359.02777777777777</v>
      </c>
      <c r="M3" s="16">
        <f t="shared" si="1"/>
        <v>27.852998065764023</v>
      </c>
      <c r="O3">
        <f t="shared" si="2"/>
        <v>11263591.428571429</v>
      </c>
      <c r="P3" s="37">
        <f t="shared" si="3"/>
        <v>4417.0946778711486</v>
      </c>
      <c r="Q3" s="38">
        <f t="shared" si="4"/>
        <v>57134.159420289856</v>
      </c>
    </row>
    <row r="4" spans="1:19">
      <c r="A4" t="s">
        <v>7</v>
      </c>
      <c r="B4">
        <v>757849</v>
      </c>
      <c r="C4">
        <v>1452</v>
      </c>
      <c r="D4">
        <v>1452</v>
      </c>
      <c r="E4">
        <v>522</v>
      </c>
      <c r="F4">
        <v>45749</v>
      </c>
      <c r="G4">
        <v>60</v>
      </c>
      <c r="H4">
        <v>32</v>
      </c>
      <c r="I4" s="39">
        <v>459626680</v>
      </c>
      <c r="J4" s="39">
        <v>606</v>
      </c>
      <c r="K4" t="s">
        <v>140</v>
      </c>
      <c r="L4">
        <f t="shared" si="0"/>
        <v>521.93457300275486</v>
      </c>
      <c r="M4" s="16">
        <f t="shared" si="1"/>
        <v>19.159489555307193</v>
      </c>
      <c r="O4">
        <f t="shared" si="2"/>
        <v>459626680</v>
      </c>
      <c r="P4" s="37">
        <f t="shared" si="3"/>
        <v>10046.704408839538</v>
      </c>
      <c r="Q4" s="38">
        <f t="shared" si="4"/>
        <v>7660444.666666667</v>
      </c>
    </row>
    <row r="5" spans="1:19">
      <c r="A5" t="s">
        <v>98</v>
      </c>
      <c r="B5">
        <v>11382</v>
      </c>
      <c r="C5">
        <v>25</v>
      </c>
      <c r="D5">
        <v>25</v>
      </c>
      <c r="E5">
        <v>455</v>
      </c>
      <c r="F5">
        <v>1949</v>
      </c>
      <c r="G5">
        <v>171</v>
      </c>
      <c r="H5">
        <v>78</v>
      </c>
      <c r="I5" s="39">
        <v>5951995</v>
      </c>
      <c r="J5" s="39">
        <v>523</v>
      </c>
      <c r="K5" t="s">
        <v>141</v>
      </c>
      <c r="L5">
        <f t="shared" si="0"/>
        <v>455.28</v>
      </c>
      <c r="M5" s="16">
        <f t="shared" si="1"/>
        <v>21.964505359339309</v>
      </c>
      <c r="O5">
        <f t="shared" si="2"/>
        <v>8502850</v>
      </c>
      <c r="P5" s="37">
        <f t="shared" si="3"/>
        <v>3053.8712160082096</v>
      </c>
      <c r="Q5" s="38">
        <f t="shared" si="4"/>
        <v>34806.988304093567</v>
      </c>
    </row>
    <row r="6" spans="1:19">
      <c r="A6" t="s">
        <v>88</v>
      </c>
      <c r="B6">
        <v>10238</v>
      </c>
      <c r="C6">
        <v>24</v>
      </c>
      <c r="D6">
        <v>24</v>
      </c>
      <c r="E6">
        <v>427</v>
      </c>
      <c r="F6">
        <v>2776</v>
      </c>
      <c r="G6">
        <v>271</v>
      </c>
      <c r="H6">
        <v>116</v>
      </c>
      <c r="I6" s="39">
        <v>5327565</v>
      </c>
      <c r="J6" s="39">
        <v>520</v>
      </c>
      <c r="K6" t="s">
        <v>141</v>
      </c>
      <c r="L6">
        <f t="shared" si="0"/>
        <v>426.58333333333331</v>
      </c>
      <c r="M6" s="16">
        <f t="shared" si="1"/>
        <v>23.44207853096308</v>
      </c>
      <c r="O6">
        <f t="shared" si="2"/>
        <v>7610807.1428571437</v>
      </c>
      <c r="P6" s="37">
        <f t="shared" si="3"/>
        <v>1919.1516570605188</v>
      </c>
      <c r="Q6" s="38">
        <f t="shared" si="4"/>
        <v>19658.911439114392</v>
      </c>
    </row>
    <row r="7" spans="1:19">
      <c r="A7" t="s">
        <v>122</v>
      </c>
      <c r="B7">
        <v>19685</v>
      </c>
      <c r="C7">
        <v>34</v>
      </c>
      <c r="D7">
        <v>34</v>
      </c>
      <c r="E7">
        <v>579</v>
      </c>
      <c r="F7">
        <v>3328</v>
      </c>
      <c r="G7">
        <v>169</v>
      </c>
      <c r="H7">
        <v>98</v>
      </c>
      <c r="I7" s="39">
        <v>10205584</v>
      </c>
      <c r="J7" s="39">
        <v>518</v>
      </c>
      <c r="K7" t="s">
        <v>141</v>
      </c>
      <c r="L7">
        <f t="shared" si="0"/>
        <v>578.97058823529414</v>
      </c>
      <c r="M7" s="16">
        <f t="shared" si="1"/>
        <v>17.27203454406909</v>
      </c>
      <c r="O7">
        <f t="shared" si="2"/>
        <v>11339537.777777778</v>
      </c>
      <c r="P7" s="37">
        <f t="shared" si="3"/>
        <v>3066.5817307692309</v>
      </c>
      <c r="Q7" s="38">
        <f t="shared" si="4"/>
        <v>60388.071005917162</v>
      </c>
    </row>
    <row r="8" spans="1:19">
      <c r="A8" t="s">
        <v>112</v>
      </c>
      <c r="B8">
        <v>35315</v>
      </c>
      <c r="C8">
        <v>54</v>
      </c>
      <c r="D8">
        <v>59</v>
      </c>
      <c r="E8">
        <v>596</v>
      </c>
      <c r="F8">
        <v>3652</v>
      </c>
      <c r="G8">
        <v>103</v>
      </c>
      <c r="H8">
        <v>62</v>
      </c>
      <c r="I8" s="39">
        <v>17540766</v>
      </c>
      <c r="J8" s="39">
        <v>497</v>
      </c>
      <c r="K8" t="s">
        <v>141</v>
      </c>
      <c r="L8">
        <f t="shared" si="0"/>
        <v>598.5593220338983</v>
      </c>
      <c r="M8" s="16">
        <f t="shared" si="1"/>
        <v>15.290952852895371</v>
      </c>
      <c r="O8">
        <f t="shared" si="2"/>
        <v>19489740</v>
      </c>
      <c r="P8" s="37">
        <f t="shared" si="3"/>
        <v>4803.0575027382256</v>
      </c>
      <c r="Q8" s="38">
        <f t="shared" si="4"/>
        <v>170298.6990291262</v>
      </c>
    </row>
    <row r="9" spans="1:19">
      <c r="A9" t="s">
        <v>94</v>
      </c>
      <c r="B9">
        <v>13251</v>
      </c>
      <c r="C9">
        <v>31</v>
      </c>
      <c r="D9">
        <v>31</v>
      </c>
      <c r="E9">
        <v>427</v>
      </c>
      <c r="F9">
        <v>2196</v>
      </c>
      <c r="G9">
        <v>166</v>
      </c>
      <c r="H9">
        <v>71</v>
      </c>
      <c r="I9" s="39">
        <v>6398979</v>
      </c>
      <c r="J9" s="39">
        <v>483</v>
      </c>
      <c r="K9" t="s">
        <v>141</v>
      </c>
      <c r="L9">
        <f t="shared" si="0"/>
        <v>427.45161290322579</v>
      </c>
      <c r="M9" s="16">
        <f t="shared" si="1"/>
        <v>23.394460795411668</v>
      </c>
      <c r="O9">
        <f t="shared" si="2"/>
        <v>9141398.5714285728</v>
      </c>
      <c r="P9" s="37">
        <f t="shared" si="3"/>
        <v>2913.9248633879783</v>
      </c>
      <c r="Q9" s="38">
        <f t="shared" si="4"/>
        <v>38548.066265060239</v>
      </c>
    </row>
    <row r="10" spans="1:19">
      <c r="A10" t="s">
        <v>71</v>
      </c>
      <c r="B10">
        <v>12775</v>
      </c>
      <c r="C10">
        <v>25</v>
      </c>
      <c r="D10">
        <v>25</v>
      </c>
      <c r="E10">
        <v>511</v>
      </c>
      <c r="F10">
        <v>1770</v>
      </c>
      <c r="G10">
        <v>139</v>
      </c>
      <c r="H10">
        <v>71</v>
      </c>
      <c r="I10" s="39">
        <v>5788930</v>
      </c>
      <c r="J10" s="39">
        <v>453</v>
      </c>
      <c r="K10" t="s">
        <v>141</v>
      </c>
      <c r="L10">
        <f t="shared" si="0"/>
        <v>511</v>
      </c>
      <c r="M10" s="16">
        <f t="shared" si="1"/>
        <v>19.569471624266146</v>
      </c>
      <c r="O10">
        <f t="shared" si="2"/>
        <v>8269900.0000000009</v>
      </c>
      <c r="P10" s="37">
        <f t="shared" si="3"/>
        <v>3270.5819209039546</v>
      </c>
      <c r="Q10" s="38">
        <f t="shared" si="4"/>
        <v>41646.978417266189</v>
      </c>
    </row>
    <row r="11" spans="1:19">
      <c r="A11" t="s">
        <v>135</v>
      </c>
      <c r="B11">
        <v>12343</v>
      </c>
      <c r="C11">
        <v>23</v>
      </c>
      <c r="D11">
        <v>23</v>
      </c>
      <c r="E11">
        <v>537</v>
      </c>
      <c r="F11">
        <v>1124</v>
      </c>
      <c r="G11">
        <v>91</v>
      </c>
      <c r="H11">
        <v>49</v>
      </c>
      <c r="I11" s="39">
        <v>5569187</v>
      </c>
      <c r="J11" s="39">
        <v>451</v>
      </c>
      <c r="K11" t="s">
        <v>140</v>
      </c>
      <c r="L11">
        <f t="shared" si="0"/>
        <v>536.6521739130435</v>
      </c>
      <c r="M11" s="16">
        <f t="shared" si="1"/>
        <v>18.634043587458478</v>
      </c>
      <c r="O11">
        <f t="shared" si="2"/>
        <v>5569187</v>
      </c>
      <c r="P11" s="37">
        <f t="shared" si="3"/>
        <v>4954.7927046263349</v>
      </c>
      <c r="Q11" s="38">
        <f t="shared" si="4"/>
        <v>61199.857142857145</v>
      </c>
    </row>
    <row r="12" spans="1:19">
      <c r="A12" t="s">
        <v>79</v>
      </c>
      <c r="B12">
        <v>7285</v>
      </c>
      <c r="C12">
        <v>17</v>
      </c>
      <c r="D12">
        <v>17</v>
      </c>
      <c r="E12">
        <v>429</v>
      </c>
      <c r="F12">
        <v>1643</v>
      </c>
      <c r="G12">
        <v>226</v>
      </c>
      <c r="H12">
        <v>97</v>
      </c>
      <c r="I12" s="39">
        <v>3263988</v>
      </c>
      <c r="J12" s="39">
        <v>448</v>
      </c>
      <c r="K12" t="s">
        <v>141</v>
      </c>
      <c r="L12">
        <f t="shared" si="0"/>
        <v>428.52941176470586</v>
      </c>
      <c r="M12" s="16">
        <f t="shared" si="1"/>
        <v>23.335621139327387</v>
      </c>
      <c r="O12">
        <f t="shared" si="2"/>
        <v>4662840</v>
      </c>
      <c r="P12" s="37">
        <f t="shared" si="3"/>
        <v>1986.6025562994523</v>
      </c>
      <c r="Q12" s="38">
        <f t="shared" si="4"/>
        <v>14442.424778761062</v>
      </c>
    </row>
    <row r="13" spans="1:19">
      <c r="A13" t="s">
        <v>64</v>
      </c>
      <c r="B13">
        <v>24286</v>
      </c>
      <c r="C13">
        <v>38</v>
      </c>
      <c r="D13">
        <v>38</v>
      </c>
      <c r="E13">
        <v>639</v>
      </c>
      <c r="F13">
        <v>2844</v>
      </c>
      <c r="G13">
        <v>117</v>
      </c>
      <c r="H13">
        <v>75</v>
      </c>
      <c r="I13" s="39">
        <v>10750824</v>
      </c>
      <c r="J13" s="39">
        <v>443</v>
      </c>
      <c r="K13" t="s">
        <v>141</v>
      </c>
      <c r="L13">
        <f t="shared" si="0"/>
        <v>639.10526315789468</v>
      </c>
      <c r="M13" s="16">
        <f t="shared" si="1"/>
        <v>15.646874742650086</v>
      </c>
      <c r="O13">
        <f t="shared" si="2"/>
        <v>11945360</v>
      </c>
      <c r="P13" s="37">
        <f t="shared" si="3"/>
        <v>3780.1772151898736</v>
      </c>
      <c r="Q13" s="38">
        <f t="shared" si="4"/>
        <v>91887.38461538461</v>
      </c>
    </row>
    <row r="14" spans="1:19">
      <c r="A14" t="s">
        <v>124</v>
      </c>
      <c r="B14">
        <v>84907</v>
      </c>
      <c r="C14">
        <v>153</v>
      </c>
      <c r="D14">
        <v>153</v>
      </c>
      <c r="E14">
        <v>555</v>
      </c>
      <c r="F14">
        <v>15276</v>
      </c>
      <c r="G14">
        <v>180</v>
      </c>
      <c r="H14">
        <v>100</v>
      </c>
      <c r="I14" s="39">
        <v>37392222</v>
      </c>
      <c r="J14" s="39">
        <v>440</v>
      </c>
      <c r="K14" t="s">
        <v>141</v>
      </c>
      <c r="L14">
        <f t="shared" si="0"/>
        <v>554.94771241830063</v>
      </c>
      <c r="M14" s="16">
        <f t="shared" si="1"/>
        <v>18.019715688930241</v>
      </c>
      <c r="O14">
        <f t="shared" si="2"/>
        <v>41546913.333333336</v>
      </c>
      <c r="P14" s="37">
        <f t="shared" si="3"/>
        <v>2447.7757266300077</v>
      </c>
      <c r="Q14" s="38">
        <f t="shared" si="4"/>
        <v>207734.56666666668</v>
      </c>
    </row>
    <row r="15" spans="1:19">
      <c r="A15" t="s">
        <v>139</v>
      </c>
      <c r="B15">
        <v>52280</v>
      </c>
      <c r="C15">
        <v>79</v>
      </c>
      <c r="D15">
        <v>82</v>
      </c>
      <c r="E15">
        <v>639</v>
      </c>
      <c r="F15">
        <v>2467</v>
      </c>
      <c r="G15">
        <v>47</v>
      </c>
      <c r="H15">
        <v>30</v>
      </c>
      <c r="I15" s="39">
        <v>22980516</v>
      </c>
      <c r="J15" s="39">
        <v>440</v>
      </c>
      <c r="K15" t="s">
        <v>140</v>
      </c>
      <c r="L15">
        <f t="shared" si="0"/>
        <v>637.56097560975604</v>
      </c>
      <c r="M15" s="16">
        <f t="shared" si="1"/>
        <v>15.110941086457537</v>
      </c>
      <c r="O15">
        <f t="shared" si="2"/>
        <v>22980516</v>
      </c>
      <c r="P15" s="37">
        <f t="shared" si="3"/>
        <v>9315.1665991082282</v>
      </c>
      <c r="Q15" s="38">
        <f t="shared" si="4"/>
        <v>488947.14893617021</v>
      </c>
    </row>
    <row r="16" spans="1:19">
      <c r="A16" t="s">
        <v>77</v>
      </c>
      <c r="B16">
        <v>9169</v>
      </c>
      <c r="C16">
        <v>20</v>
      </c>
      <c r="D16">
        <v>20</v>
      </c>
      <c r="E16">
        <v>458</v>
      </c>
      <c r="F16">
        <v>735</v>
      </c>
      <c r="G16">
        <v>80</v>
      </c>
      <c r="H16">
        <v>37</v>
      </c>
      <c r="I16" s="39">
        <v>4013838</v>
      </c>
      <c r="J16" s="39">
        <v>438</v>
      </c>
      <c r="K16" t="s">
        <v>141</v>
      </c>
      <c r="L16">
        <f t="shared" si="0"/>
        <v>458.45</v>
      </c>
      <c r="M16" s="16">
        <f t="shared" si="1"/>
        <v>21.812629512487732</v>
      </c>
      <c r="O16">
        <f t="shared" si="2"/>
        <v>5734054.2857142864</v>
      </c>
      <c r="P16" s="37">
        <f t="shared" si="3"/>
        <v>5461.0040816326527</v>
      </c>
      <c r="Q16" s="38">
        <f t="shared" si="4"/>
        <v>50172.974999999999</v>
      </c>
    </row>
    <row r="17" spans="1:17">
      <c r="A17" t="s">
        <v>91</v>
      </c>
      <c r="B17">
        <v>5653</v>
      </c>
      <c r="C17">
        <v>11</v>
      </c>
      <c r="D17">
        <v>11</v>
      </c>
      <c r="E17">
        <v>514</v>
      </c>
      <c r="F17">
        <v>1002</v>
      </c>
      <c r="G17">
        <v>177</v>
      </c>
      <c r="H17">
        <v>91</v>
      </c>
      <c r="I17" s="39">
        <v>2456196</v>
      </c>
      <c r="J17" s="39">
        <v>434</v>
      </c>
      <c r="K17" t="s">
        <v>141</v>
      </c>
      <c r="L17">
        <f t="shared" si="0"/>
        <v>513.90909090909088</v>
      </c>
      <c r="M17" s="16">
        <f t="shared" si="1"/>
        <v>19.458694498496374</v>
      </c>
      <c r="O17">
        <f t="shared" si="2"/>
        <v>3508851.4285714286</v>
      </c>
      <c r="P17" s="37">
        <f t="shared" si="3"/>
        <v>2451.2934131736529</v>
      </c>
      <c r="Q17" s="38">
        <f t="shared" si="4"/>
        <v>13876.813559322034</v>
      </c>
    </row>
    <row r="18" spans="1:17">
      <c r="A18" t="s">
        <v>132</v>
      </c>
      <c r="B18">
        <v>175219</v>
      </c>
      <c r="C18">
        <v>218</v>
      </c>
      <c r="D18">
        <v>227</v>
      </c>
      <c r="E18">
        <v>706</v>
      </c>
      <c r="F18">
        <v>9662</v>
      </c>
      <c r="G18">
        <v>55</v>
      </c>
      <c r="H18">
        <v>43</v>
      </c>
      <c r="I18" s="39">
        <v>71941468</v>
      </c>
      <c r="J18" s="39">
        <v>411</v>
      </c>
      <c r="K18" t="s">
        <v>140</v>
      </c>
      <c r="L18">
        <f t="shared" si="0"/>
        <v>771.88986784140968</v>
      </c>
      <c r="M18" s="16">
        <f t="shared" si="1"/>
        <v>12.441573117070638</v>
      </c>
      <c r="O18">
        <f t="shared" si="2"/>
        <v>71941468</v>
      </c>
      <c r="P18" s="37">
        <f t="shared" si="3"/>
        <v>7445.8153591388946</v>
      </c>
      <c r="Q18" s="38">
        <f t="shared" si="4"/>
        <v>1308026.6909090909</v>
      </c>
    </row>
    <row r="19" spans="1:17">
      <c r="A19" t="s">
        <v>46</v>
      </c>
      <c r="B19">
        <v>107769</v>
      </c>
      <c r="C19">
        <v>152</v>
      </c>
      <c r="D19">
        <v>165</v>
      </c>
      <c r="E19">
        <v>652</v>
      </c>
      <c r="F19">
        <v>12468</v>
      </c>
      <c r="G19">
        <v>116</v>
      </c>
      <c r="H19">
        <v>75</v>
      </c>
      <c r="I19" s="39">
        <v>43865748</v>
      </c>
      <c r="J19" s="39">
        <v>407</v>
      </c>
      <c r="K19" t="s">
        <v>141</v>
      </c>
      <c r="L19">
        <f t="shared" si="0"/>
        <v>653.14545454545453</v>
      </c>
      <c r="M19" s="16">
        <f t="shared" si="1"/>
        <v>14.104241479460699</v>
      </c>
      <c r="O19">
        <f t="shared" si="2"/>
        <v>48739720</v>
      </c>
      <c r="P19" s="37">
        <f t="shared" si="3"/>
        <v>3518.2666025024064</v>
      </c>
      <c r="Q19" s="38">
        <f t="shared" si="4"/>
        <v>378153</v>
      </c>
    </row>
    <row r="20" spans="1:17">
      <c r="A20" t="s">
        <v>34</v>
      </c>
      <c r="B20">
        <v>125444</v>
      </c>
      <c r="C20">
        <v>172</v>
      </c>
      <c r="D20">
        <v>172</v>
      </c>
      <c r="E20">
        <v>729</v>
      </c>
      <c r="F20">
        <v>3727</v>
      </c>
      <c r="G20">
        <v>30</v>
      </c>
      <c r="H20">
        <v>22</v>
      </c>
      <c r="I20" s="39">
        <v>50588365</v>
      </c>
      <c r="J20" s="39">
        <v>403</v>
      </c>
      <c r="K20" t="s">
        <v>140</v>
      </c>
      <c r="L20">
        <f t="shared" si="0"/>
        <v>729.32558139534888</v>
      </c>
      <c r="M20" s="16">
        <f t="shared" si="1"/>
        <v>13.711297471381652</v>
      </c>
      <c r="N20">
        <v>1</v>
      </c>
      <c r="O20">
        <f t="shared" si="2"/>
        <v>50588365</v>
      </c>
      <c r="P20" s="37">
        <f t="shared" si="3"/>
        <v>13573.481352294069</v>
      </c>
      <c r="Q20" s="38">
        <f t="shared" si="4"/>
        <v>1686278.8333333333</v>
      </c>
    </row>
    <row r="21" spans="1:17">
      <c r="A21" t="s">
        <v>134</v>
      </c>
      <c r="B21">
        <v>127830</v>
      </c>
      <c r="C21">
        <v>194</v>
      </c>
      <c r="D21">
        <v>197</v>
      </c>
      <c r="E21">
        <v>632</v>
      </c>
      <c r="F21">
        <v>4336</v>
      </c>
      <c r="G21">
        <v>34</v>
      </c>
      <c r="H21">
        <v>22</v>
      </c>
      <c r="I21" s="39">
        <v>51269317</v>
      </c>
      <c r="J21" s="39">
        <v>401</v>
      </c>
      <c r="K21" t="s">
        <v>140</v>
      </c>
      <c r="L21">
        <f t="shared" si="0"/>
        <v>648.88324873096451</v>
      </c>
      <c r="M21" s="16">
        <f t="shared" si="1"/>
        <v>15.176406164437143</v>
      </c>
      <c r="O21">
        <f t="shared" si="2"/>
        <v>51269317</v>
      </c>
      <c r="P21" s="37">
        <f t="shared" si="3"/>
        <v>11824.104474169742</v>
      </c>
      <c r="Q21" s="38">
        <f t="shared" si="4"/>
        <v>1507921.0882352942</v>
      </c>
    </row>
    <row r="22" spans="1:17">
      <c r="A22" t="s">
        <v>74</v>
      </c>
      <c r="B22">
        <v>6832</v>
      </c>
      <c r="C22">
        <v>14</v>
      </c>
      <c r="D22">
        <v>15</v>
      </c>
      <c r="E22">
        <v>442</v>
      </c>
      <c r="F22">
        <v>1484</v>
      </c>
      <c r="G22">
        <v>217</v>
      </c>
      <c r="H22">
        <v>96</v>
      </c>
      <c r="I22" s="39">
        <v>2731088</v>
      </c>
      <c r="J22" s="39">
        <v>400</v>
      </c>
      <c r="K22" t="s">
        <v>141</v>
      </c>
      <c r="L22">
        <f t="shared" si="0"/>
        <v>455.46666666666664</v>
      </c>
      <c r="M22" s="16">
        <f t="shared" si="1"/>
        <v>20.491803278688526</v>
      </c>
      <c r="O22">
        <f t="shared" si="2"/>
        <v>3901554.2857142859</v>
      </c>
      <c r="P22" s="37">
        <f t="shared" si="3"/>
        <v>1840.355795148248</v>
      </c>
      <c r="Q22" s="38">
        <f t="shared" si="4"/>
        <v>12585.658986175114</v>
      </c>
    </row>
    <row r="23" spans="1:17">
      <c r="A23" t="s">
        <v>138</v>
      </c>
      <c r="B23">
        <v>38943</v>
      </c>
      <c r="C23">
        <v>53</v>
      </c>
      <c r="D23">
        <v>55</v>
      </c>
      <c r="E23">
        <v>714</v>
      </c>
      <c r="F23">
        <v>1139</v>
      </c>
      <c r="G23">
        <v>29</v>
      </c>
      <c r="H23">
        <v>21</v>
      </c>
      <c r="I23" s="39">
        <v>15503831</v>
      </c>
      <c r="J23" s="39">
        <v>398</v>
      </c>
      <c r="K23" t="s">
        <v>140</v>
      </c>
      <c r="L23">
        <f t="shared" si="0"/>
        <v>708.0545454545454</v>
      </c>
      <c r="M23" s="16">
        <f t="shared" si="1"/>
        <v>13.609634594150425</v>
      </c>
      <c r="O23">
        <f t="shared" si="2"/>
        <v>15503831</v>
      </c>
      <c r="P23" s="37">
        <f t="shared" si="3"/>
        <v>13611.791922739245</v>
      </c>
      <c r="Q23" s="38">
        <f t="shared" si="4"/>
        <v>534614.86206896557</v>
      </c>
    </row>
    <row r="24" spans="1:17">
      <c r="A24" t="s">
        <v>136</v>
      </c>
      <c r="B24">
        <v>92435</v>
      </c>
      <c r="C24">
        <v>115</v>
      </c>
      <c r="D24">
        <v>118</v>
      </c>
      <c r="E24">
        <v>783</v>
      </c>
      <c r="F24">
        <v>5623</v>
      </c>
      <c r="G24">
        <v>61</v>
      </c>
      <c r="H24">
        <v>48</v>
      </c>
      <c r="I24" s="39">
        <v>36723541</v>
      </c>
      <c r="J24" s="39">
        <v>397</v>
      </c>
      <c r="K24" t="s">
        <v>140</v>
      </c>
      <c r="L24">
        <f t="shared" si="0"/>
        <v>783.34745762711862</v>
      </c>
      <c r="M24" s="16">
        <f t="shared" si="1"/>
        <v>12.441174879645157</v>
      </c>
      <c r="O24">
        <f t="shared" si="2"/>
        <v>36723541</v>
      </c>
      <c r="P24" s="37">
        <f t="shared" si="3"/>
        <v>6530.9516272452429</v>
      </c>
      <c r="Q24" s="38">
        <f t="shared" si="4"/>
        <v>602025.26229508198</v>
      </c>
    </row>
    <row r="25" spans="1:17">
      <c r="A25" t="s">
        <v>109</v>
      </c>
      <c r="B25">
        <v>167395</v>
      </c>
      <c r="C25">
        <v>244</v>
      </c>
      <c r="D25">
        <v>244</v>
      </c>
      <c r="E25">
        <v>686</v>
      </c>
      <c r="F25">
        <v>17351</v>
      </c>
      <c r="G25">
        <v>104</v>
      </c>
      <c r="H25">
        <v>71</v>
      </c>
      <c r="I25" s="39">
        <v>66173005</v>
      </c>
      <c r="J25" s="39">
        <v>395</v>
      </c>
      <c r="K25" t="s">
        <v>141</v>
      </c>
      <c r="L25">
        <f t="shared" si="0"/>
        <v>686.04508196721315</v>
      </c>
      <c r="M25" s="16">
        <f t="shared" si="1"/>
        <v>14.576301562173303</v>
      </c>
      <c r="O25">
        <f t="shared" si="2"/>
        <v>73525561.111111104</v>
      </c>
      <c r="P25" s="37">
        <f t="shared" si="3"/>
        <v>3813.7862371044898</v>
      </c>
      <c r="Q25" s="38">
        <f t="shared" si="4"/>
        <v>636278.89423076925</v>
      </c>
    </row>
    <row r="26" spans="1:17">
      <c r="A26" t="s">
        <v>97</v>
      </c>
      <c r="B26">
        <v>15620</v>
      </c>
      <c r="C26">
        <v>26</v>
      </c>
      <c r="D26">
        <v>26</v>
      </c>
      <c r="E26">
        <v>601</v>
      </c>
      <c r="F26">
        <v>1015</v>
      </c>
      <c r="G26">
        <v>65</v>
      </c>
      <c r="H26">
        <v>39</v>
      </c>
      <c r="I26" s="39">
        <v>6114235</v>
      </c>
      <c r="J26" s="39">
        <v>391</v>
      </c>
      <c r="K26" t="s">
        <v>141</v>
      </c>
      <c r="L26">
        <f t="shared" si="0"/>
        <v>600.76923076923072</v>
      </c>
      <c r="M26" s="16">
        <f t="shared" si="1"/>
        <v>16.645326504481435</v>
      </c>
      <c r="O26">
        <f t="shared" si="2"/>
        <v>6793594.444444444</v>
      </c>
      <c r="P26" s="37">
        <f t="shared" si="3"/>
        <v>6023.8768472906404</v>
      </c>
      <c r="Q26" s="38">
        <f t="shared" si="4"/>
        <v>94065.153846153844</v>
      </c>
    </row>
    <row r="27" spans="1:17">
      <c r="A27" t="s">
        <v>65</v>
      </c>
      <c r="B27">
        <v>109628</v>
      </c>
      <c r="C27">
        <v>158</v>
      </c>
      <c r="D27">
        <v>158</v>
      </c>
      <c r="E27">
        <v>694</v>
      </c>
      <c r="F27">
        <v>12153</v>
      </c>
      <c r="G27">
        <v>111</v>
      </c>
      <c r="H27">
        <v>77</v>
      </c>
      <c r="I27" s="39">
        <v>39731000</v>
      </c>
      <c r="J27" s="39">
        <v>362</v>
      </c>
      <c r="K27" t="s">
        <v>141</v>
      </c>
      <c r="L27">
        <f t="shared" si="0"/>
        <v>693.84810126582283</v>
      </c>
      <c r="M27" s="16">
        <f t="shared" si="1"/>
        <v>14.412376400189732</v>
      </c>
      <c r="O27">
        <f t="shared" si="2"/>
        <v>44145555.555555552</v>
      </c>
      <c r="P27" s="37">
        <f t="shared" si="3"/>
        <v>3269.2339340080639</v>
      </c>
      <c r="Q27" s="38">
        <f t="shared" si="4"/>
        <v>357936.93693693692</v>
      </c>
    </row>
    <row r="28" spans="1:17">
      <c r="A28" t="s">
        <v>115</v>
      </c>
      <c r="B28">
        <v>46606</v>
      </c>
      <c r="C28">
        <v>53</v>
      </c>
      <c r="D28">
        <v>58</v>
      </c>
      <c r="E28">
        <v>806</v>
      </c>
      <c r="F28">
        <v>4507</v>
      </c>
      <c r="G28">
        <v>97</v>
      </c>
      <c r="H28">
        <v>78</v>
      </c>
      <c r="I28" s="39">
        <v>16849612</v>
      </c>
      <c r="J28" s="39">
        <v>362</v>
      </c>
      <c r="K28" t="s">
        <v>141</v>
      </c>
      <c r="L28">
        <f t="shared" si="0"/>
        <v>803.55172413793105</v>
      </c>
      <c r="M28" s="16">
        <f t="shared" si="1"/>
        <v>11.371926361412694</v>
      </c>
      <c r="O28">
        <f t="shared" si="2"/>
        <v>18721791.111111112</v>
      </c>
      <c r="P28" s="37">
        <f t="shared" si="3"/>
        <v>3738.5427113379187</v>
      </c>
      <c r="Q28" s="38">
        <f t="shared" si="4"/>
        <v>173707.34020618556</v>
      </c>
    </row>
    <row r="29" spans="1:17">
      <c r="A29" t="s">
        <v>116</v>
      </c>
      <c r="B29">
        <v>110700</v>
      </c>
      <c r="C29">
        <v>164</v>
      </c>
      <c r="D29">
        <v>164</v>
      </c>
      <c r="E29">
        <v>675</v>
      </c>
      <c r="F29">
        <v>11202</v>
      </c>
      <c r="G29">
        <v>101</v>
      </c>
      <c r="H29">
        <v>68</v>
      </c>
      <c r="I29" s="39">
        <v>39529691</v>
      </c>
      <c r="J29" s="39">
        <v>357</v>
      </c>
      <c r="K29" t="s">
        <v>141</v>
      </c>
      <c r="L29">
        <f t="shared" si="0"/>
        <v>675</v>
      </c>
      <c r="M29" s="16">
        <f t="shared" si="1"/>
        <v>14.814814814814815</v>
      </c>
      <c r="O29">
        <f t="shared" si="2"/>
        <v>43921878.888888888</v>
      </c>
      <c r="P29" s="37">
        <f t="shared" si="3"/>
        <v>3528.8065524013568</v>
      </c>
      <c r="Q29" s="38">
        <f t="shared" si="4"/>
        <v>391383.07920792082</v>
      </c>
    </row>
    <row r="30" spans="1:17">
      <c r="A30" t="s">
        <v>120</v>
      </c>
      <c r="B30">
        <v>38767</v>
      </c>
      <c r="C30">
        <v>57</v>
      </c>
      <c r="D30">
        <v>57</v>
      </c>
      <c r="E30">
        <v>680</v>
      </c>
      <c r="F30">
        <v>6406</v>
      </c>
      <c r="G30">
        <v>165</v>
      </c>
      <c r="H30">
        <v>112</v>
      </c>
      <c r="I30" s="39">
        <v>13827617</v>
      </c>
      <c r="J30" s="39">
        <v>357</v>
      </c>
      <c r="K30" t="s">
        <v>141</v>
      </c>
      <c r="L30">
        <f t="shared" si="0"/>
        <v>680.12280701754389</v>
      </c>
      <c r="M30" s="16">
        <f t="shared" si="1"/>
        <v>14.703226971393196</v>
      </c>
      <c r="O30">
        <f t="shared" si="2"/>
        <v>15364018.888888888</v>
      </c>
      <c r="P30" s="37">
        <f t="shared" si="3"/>
        <v>2158.5415235716514</v>
      </c>
      <c r="Q30" s="38">
        <f t="shared" si="4"/>
        <v>83803.739393939395</v>
      </c>
    </row>
    <row r="31" spans="1:17">
      <c r="A31" t="s">
        <v>63</v>
      </c>
      <c r="B31">
        <v>22720</v>
      </c>
      <c r="C31">
        <v>30</v>
      </c>
      <c r="D31">
        <v>30</v>
      </c>
      <c r="E31">
        <v>757</v>
      </c>
      <c r="F31">
        <v>2890</v>
      </c>
      <c r="G31">
        <v>127</v>
      </c>
      <c r="H31">
        <v>96</v>
      </c>
      <c r="I31" s="39">
        <v>8074294</v>
      </c>
      <c r="J31" s="39">
        <v>355</v>
      </c>
      <c r="K31" t="s">
        <v>141</v>
      </c>
      <c r="L31">
        <f t="shared" si="0"/>
        <v>757.33333333333337</v>
      </c>
      <c r="M31" s="16">
        <f t="shared" si="1"/>
        <v>13.204225352112676</v>
      </c>
      <c r="O31">
        <f t="shared" si="2"/>
        <v>8971437.777777778</v>
      </c>
      <c r="P31" s="37">
        <f t="shared" si="3"/>
        <v>2793.8733564013842</v>
      </c>
      <c r="Q31" s="38">
        <f t="shared" si="4"/>
        <v>63577.118110236217</v>
      </c>
    </row>
    <row r="32" spans="1:17">
      <c r="A32" t="s">
        <v>133</v>
      </c>
      <c r="B32">
        <v>18135</v>
      </c>
      <c r="C32">
        <v>26</v>
      </c>
      <c r="D32">
        <v>26</v>
      </c>
      <c r="E32">
        <v>698</v>
      </c>
      <c r="F32">
        <v>466</v>
      </c>
      <c r="G32">
        <v>26</v>
      </c>
      <c r="H32">
        <v>18</v>
      </c>
      <c r="I32" s="39">
        <v>6350620</v>
      </c>
      <c r="J32" s="39">
        <v>350</v>
      </c>
      <c r="K32" t="s">
        <v>140</v>
      </c>
      <c r="L32">
        <f t="shared" si="0"/>
        <v>697.5</v>
      </c>
      <c r="M32" s="16">
        <f t="shared" si="1"/>
        <v>14.336917562724015</v>
      </c>
      <c r="N32">
        <v>1</v>
      </c>
      <c r="O32">
        <f t="shared" si="2"/>
        <v>6350620</v>
      </c>
      <c r="P32" s="37">
        <f t="shared" si="3"/>
        <v>13627.939914163089</v>
      </c>
      <c r="Q32" s="38">
        <f t="shared" si="4"/>
        <v>244254.61538461538</v>
      </c>
    </row>
    <row r="33" spans="1:17">
      <c r="A33" t="s">
        <v>95</v>
      </c>
      <c r="B33">
        <v>8402</v>
      </c>
      <c r="C33">
        <v>14</v>
      </c>
      <c r="D33">
        <v>14</v>
      </c>
      <c r="E33">
        <v>600</v>
      </c>
      <c r="F33">
        <v>896</v>
      </c>
      <c r="G33">
        <v>107</v>
      </c>
      <c r="H33">
        <v>64</v>
      </c>
      <c r="I33" s="39">
        <v>2901590</v>
      </c>
      <c r="J33" s="39">
        <v>345</v>
      </c>
      <c r="K33" t="s">
        <v>141</v>
      </c>
      <c r="L33">
        <f t="shared" si="0"/>
        <v>600.14285714285711</v>
      </c>
      <c r="M33" s="16">
        <f t="shared" si="1"/>
        <v>16.662699357295882</v>
      </c>
      <c r="O33">
        <f t="shared" si="2"/>
        <v>4145128.5714285718</v>
      </c>
      <c r="P33" s="37">
        <f t="shared" si="3"/>
        <v>3238.3816964285716</v>
      </c>
      <c r="Q33" s="38">
        <f t="shared" si="4"/>
        <v>27117.663551401871</v>
      </c>
    </row>
    <row r="34" spans="1:17">
      <c r="A34" t="s">
        <v>125</v>
      </c>
      <c r="B34">
        <v>242965</v>
      </c>
      <c r="C34">
        <v>292</v>
      </c>
      <c r="D34">
        <v>298</v>
      </c>
      <c r="E34">
        <v>815</v>
      </c>
      <c r="F34">
        <v>13798</v>
      </c>
      <c r="G34">
        <v>57</v>
      </c>
      <c r="H34">
        <v>46</v>
      </c>
      <c r="I34" s="39">
        <v>78915543</v>
      </c>
      <c r="J34" s="39">
        <v>325</v>
      </c>
      <c r="K34" t="s">
        <v>141</v>
      </c>
      <c r="L34">
        <f t="shared" si="0"/>
        <v>815.31879194630869</v>
      </c>
      <c r="M34" s="16">
        <f t="shared" ref="M34:M65" si="5">10000*C34/B34</f>
        <v>12.018191920647007</v>
      </c>
      <c r="O34">
        <f t="shared" ref="O34:O65" si="6">IF(K34="RCMP",IF(B34&gt;15000,I34/0.9,I34/0.7),I34)</f>
        <v>87683936.666666672</v>
      </c>
      <c r="P34" s="37">
        <f t="shared" ref="P34:P65" si="7">I34/F34</f>
        <v>5719.3464994926799</v>
      </c>
      <c r="Q34" s="38">
        <f t="shared" ref="Q34:Q65" si="8">I34/G34</f>
        <v>1384483.2105263157</v>
      </c>
    </row>
    <row r="35" spans="1:17">
      <c r="A35" t="s">
        <v>59</v>
      </c>
      <c r="B35">
        <v>39153</v>
      </c>
      <c r="C35">
        <v>49</v>
      </c>
      <c r="D35">
        <v>49</v>
      </c>
      <c r="E35">
        <v>799</v>
      </c>
      <c r="F35">
        <v>5803</v>
      </c>
      <c r="G35">
        <v>148</v>
      </c>
      <c r="H35">
        <v>118</v>
      </c>
      <c r="I35" s="39">
        <v>12237426</v>
      </c>
      <c r="J35" s="39">
        <v>313</v>
      </c>
      <c r="K35" t="s">
        <v>141</v>
      </c>
      <c r="L35">
        <f t="shared" si="0"/>
        <v>799.0408163265306</v>
      </c>
      <c r="M35" s="16">
        <f t="shared" si="5"/>
        <v>12.515005235869538</v>
      </c>
      <c r="O35">
        <f t="shared" si="6"/>
        <v>13597140</v>
      </c>
      <c r="P35" s="37">
        <f t="shared" si="7"/>
        <v>2108.8102705497158</v>
      </c>
      <c r="Q35" s="38">
        <f t="shared" si="8"/>
        <v>82685.310810810814</v>
      </c>
    </row>
    <row r="36" spans="1:17">
      <c r="A36" t="s">
        <v>137</v>
      </c>
      <c r="B36">
        <v>18803</v>
      </c>
      <c r="C36">
        <v>27</v>
      </c>
      <c r="D36">
        <v>27</v>
      </c>
      <c r="E36">
        <v>696</v>
      </c>
      <c r="F36">
        <v>473</v>
      </c>
      <c r="G36">
        <v>25</v>
      </c>
      <c r="H36">
        <v>18</v>
      </c>
      <c r="I36" s="39">
        <v>5842974</v>
      </c>
      <c r="J36" s="39">
        <v>311</v>
      </c>
      <c r="K36" t="s">
        <v>140</v>
      </c>
      <c r="L36">
        <f t="shared" si="0"/>
        <v>696.40740740740739</v>
      </c>
      <c r="M36" s="16">
        <f t="shared" si="5"/>
        <v>14.359410732329946</v>
      </c>
      <c r="N36">
        <v>1</v>
      </c>
      <c r="O36">
        <f t="shared" si="6"/>
        <v>5842974</v>
      </c>
      <c r="P36" s="37">
        <f t="shared" si="7"/>
        <v>12353.010570824525</v>
      </c>
      <c r="Q36" s="38">
        <f t="shared" si="8"/>
        <v>233718.96</v>
      </c>
    </row>
    <row r="37" spans="1:17">
      <c r="A37" t="s">
        <v>129</v>
      </c>
      <c r="B37">
        <v>49167</v>
      </c>
      <c r="C37">
        <v>60</v>
      </c>
      <c r="D37">
        <v>60</v>
      </c>
      <c r="E37">
        <v>819</v>
      </c>
      <c r="F37">
        <v>6037</v>
      </c>
      <c r="G37">
        <v>123</v>
      </c>
      <c r="H37">
        <v>101</v>
      </c>
      <c r="I37" s="39">
        <v>14937253</v>
      </c>
      <c r="J37" s="39">
        <v>304</v>
      </c>
      <c r="K37" t="s">
        <v>141</v>
      </c>
      <c r="L37">
        <f t="shared" si="0"/>
        <v>819.45</v>
      </c>
      <c r="M37" s="16">
        <f t="shared" si="5"/>
        <v>12.203307096223076</v>
      </c>
      <c r="O37">
        <f t="shared" si="6"/>
        <v>16596947.777777778</v>
      </c>
      <c r="P37" s="37">
        <f t="shared" si="7"/>
        <v>2474.2840814974325</v>
      </c>
      <c r="Q37" s="38">
        <f t="shared" si="8"/>
        <v>121441.08130081301</v>
      </c>
    </row>
    <row r="38" spans="1:17">
      <c r="A38" t="s">
        <v>89</v>
      </c>
      <c r="B38">
        <v>9181</v>
      </c>
      <c r="C38">
        <v>14</v>
      </c>
      <c r="D38">
        <v>14</v>
      </c>
      <c r="E38">
        <v>656</v>
      </c>
      <c r="F38">
        <v>582</v>
      </c>
      <c r="G38">
        <v>63</v>
      </c>
      <c r="H38">
        <v>42</v>
      </c>
      <c r="I38" s="39">
        <v>2716048</v>
      </c>
      <c r="J38" s="39">
        <v>296</v>
      </c>
      <c r="K38" t="s">
        <v>141</v>
      </c>
      <c r="L38">
        <f t="shared" si="0"/>
        <v>655.78571428571433</v>
      </c>
      <c r="M38" s="16">
        <f t="shared" si="5"/>
        <v>15.248883563881931</v>
      </c>
      <c r="O38">
        <f t="shared" si="6"/>
        <v>3880068.5714285718</v>
      </c>
      <c r="P38" s="37">
        <f t="shared" si="7"/>
        <v>4666.7491408934711</v>
      </c>
      <c r="Q38" s="38">
        <f t="shared" si="8"/>
        <v>43111.873015873018</v>
      </c>
    </row>
    <row r="39" spans="1:17">
      <c r="A39" t="s">
        <v>114</v>
      </c>
      <c r="B39">
        <v>106493</v>
      </c>
      <c r="C39">
        <v>120</v>
      </c>
      <c r="D39">
        <v>130</v>
      </c>
      <c r="E39">
        <v>821</v>
      </c>
      <c r="F39">
        <v>6819</v>
      </c>
      <c r="G39">
        <v>64</v>
      </c>
      <c r="H39">
        <v>53</v>
      </c>
      <c r="I39" s="39">
        <v>31303945</v>
      </c>
      <c r="J39" s="39">
        <v>294</v>
      </c>
      <c r="K39" t="s">
        <v>141</v>
      </c>
      <c r="L39">
        <f t="shared" si="0"/>
        <v>819.17692307692312</v>
      </c>
      <c r="M39" s="16">
        <f t="shared" si="5"/>
        <v>11.26834627628107</v>
      </c>
      <c r="O39">
        <f t="shared" si="6"/>
        <v>34782161.111111112</v>
      </c>
      <c r="P39" s="37">
        <f t="shared" si="7"/>
        <v>4590.6943833406658</v>
      </c>
      <c r="Q39" s="38">
        <f t="shared" si="8"/>
        <v>489124.140625</v>
      </c>
    </row>
    <row r="40" spans="1:17">
      <c r="A40" t="s">
        <v>118</v>
      </c>
      <c r="B40">
        <v>67977</v>
      </c>
      <c r="C40">
        <v>68</v>
      </c>
      <c r="D40">
        <v>69</v>
      </c>
      <c r="E40">
        <v>988</v>
      </c>
      <c r="F40">
        <v>4535</v>
      </c>
      <c r="G40">
        <v>67</v>
      </c>
      <c r="H40">
        <v>66</v>
      </c>
      <c r="I40" s="39">
        <v>19734858</v>
      </c>
      <c r="J40" s="39">
        <v>290</v>
      </c>
      <c r="K40" t="s">
        <v>141</v>
      </c>
      <c r="L40">
        <f t="shared" si="0"/>
        <v>985.17391304347825</v>
      </c>
      <c r="M40" s="16">
        <f t="shared" si="5"/>
        <v>10.003383497359401</v>
      </c>
      <c r="O40">
        <f t="shared" si="6"/>
        <v>21927620</v>
      </c>
      <c r="P40" s="37">
        <f t="shared" si="7"/>
        <v>4351.6776185226017</v>
      </c>
      <c r="Q40" s="38">
        <f t="shared" si="8"/>
        <v>294550.11940298509</v>
      </c>
    </row>
    <row r="41" spans="1:17">
      <c r="A41" t="s">
        <v>58</v>
      </c>
      <c r="B41">
        <v>298978</v>
      </c>
      <c r="C41">
        <v>301</v>
      </c>
      <c r="D41">
        <v>321</v>
      </c>
      <c r="E41">
        <v>932</v>
      </c>
      <c r="F41">
        <v>17104</v>
      </c>
      <c r="G41">
        <v>57</v>
      </c>
      <c r="H41">
        <v>53</v>
      </c>
      <c r="I41" s="39">
        <v>85998352</v>
      </c>
      <c r="J41" s="39">
        <v>288</v>
      </c>
      <c r="K41" t="s">
        <v>141</v>
      </c>
      <c r="L41">
        <f>B41/C41</f>
        <v>993.28239202657812</v>
      </c>
      <c r="M41" s="16">
        <f t="shared" si="5"/>
        <v>10.067630394209607</v>
      </c>
      <c r="O41">
        <f t="shared" si="6"/>
        <v>95553724.444444448</v>
      </c>
      <c r="P41" s="37">
        <f t="shared" si="7"/>
        <v>5027.9672591206736</v>
      </c>
      <c r="Q41" s="38">
        <f t="shared" si="8"/>
        <v>1508743.0175438595</v>
      </c>
    </row>
    <row r="42" spans="1:17">
      <c r="A42" t="s">
        <v>131</v>
      </c>
      <c r="B42">
        <v>25124</v>
      </c>
      <c r="C42">
        <v>26</v>
      </c>
      <c r="D42">
        <v>27</v>
      </c>
      <c r="E42">
        <v>931</v>
      </c>
      <c r="F42">
        <v>1546</v>
      </c>
      <c r="G42">
        <v>62</v>
      </c>
      <c r="H42">
        <v>57</v>
      </c>
      <c r="I42" s="39">
        <v>7219402</v>
      </c>
      <c r="J42" s="39">
        <v>287</v>
      </c>
      <c r="K42" t="s">
        <v>141</v>
      </c>
      <c r="L42">
        <f t="shared" ref="L42:L79" si="9">B42/D42</f>
        <v>930.51851851851848</v>
      </c>
      <c r="M42" s="16">
        <f t="shared" si="5"/>
        <v>10.348670593854482</v>
      </c>
      <c r="O42">
        <f t="shared" si="6"/>
        <v>8021557.777777778</v>
      </c>
      <c r="P42" s="37">
        <f t="shared" si="7"/>
        <v>4669.7296248382927</v>
      </c>
      <c r="Q42" s="38">
        <f t="shared" si="8"/>
        <v>116441.96774193548</v>
      </c>
    </row>
    <row r="43" spans="1:17">
      <c r="A43" t="s">
        <v>128</v>
      </c>
      <c r="B43">
        <v>28550</v>
      </c>
      <c r="C43">
        <v>32</v>
      </c>
      <c r="D43">
        <v>34</v>
      </c>
      <c r="E43">
        <v>839</v>
      </c>
      <c r="F43">
        <v>1667</v>
      </c>
      <c r="G43">
        <v>58</v>
      </c>
      <c r="H43">
        <v>49</v>
      </c>
      <c r="I43" s="39">
        <v>8135789</v>
      </c>
      <c r="J43" s="39">
        <v>285</v>
      </c>
      <c r="K43" t="s">
        <v>141</v>
      </c>
      <c r="L43">
        <f t="shared" si="9"/>
        <v>839.70588235294122</v>
      </c>
      <c r="M43" s="16">
        <f t="shared" si="5"/>
        <v>11.208406304728546</v>
      </c>
      <c r="O43">
        <f t="shared" si="6"/>
        <v>9039765.555555556</v>
      </c>
      <c r="P43" s="37">
        <f t="shared" si="7"/>
        <v>4880.4973005398924</v>
      </c>
      <c r="Q43" s="38">
        <f t="shared" si="8"/>
        <v>140272.22413793104</v>
      </c>
    </row>
    <row r="44" spans="1:17">
      <c r="A44" t="s">
        <v>67</v>
      </c>
      <c r="B44">
        <v>9253</v>
      </c>
      <c r="C44">
        <v>13</v>
      </c>
      <c r="D44">
        <v>13</v>
      </c>
      <c r="E44">
        <v>712</v>
      </c>
      <c r="F44">
        <v>743</v>
      </c>
      <c r="G44">
        <v>80</v>
      </c>
      <c r="H44">
        <v>57</v>
      </c>
      <c r="I44" s="39">
        <v>2612270</v>
      </c>
      <c r="J44" s="39">
        <v>282</v>
      </c>
      <c r="K44" t="s">
        <v>141</v>
      </c>
      <c r="L44">
        <f t="shared" si="9"/>
        <v>711.76923076923072</v>
      </c>
      <c r="M44" s="16">
        <f t="shared" si="5"/>
        <v>14.049497460283151</v>
      </c>
      <c r="O44">
        <f t="shared" si="6"/>
        <v>3731814.2857142859</v>
      </c>
      <c r="P44" s="37">
        <f t="shared" si="7"/>
        <v>3515.8411843876179</v>
      </c>
      <c r="Q44" s="38">
        <f t="shared" si="8"/>
        <v>32653.375</v>
      </c>
    </row>
    <row r="45" spans="1:17">
      <c r="A45" t="s">
        <v>117</v>
      </c>
      <c r="B45">
        <v>34503</v>
      </c>
      <c r="C45">
        <v>32</v>
      </c>
      <c r="D45">
        <v>32</v>
      </c>
      <c r="E45">
        <v>1078</v>
      </c>
      <c r="F45">
        <v>3040</v>
      </c>
      <c r="G45">
        <v>88</v>
      </c>
      <c r="H45">
        <v>95</v>
      </c>
      <c r="I45" s="39">
        <v>9720853</v>
      </c>
      <c r="J45" s="39">
        <v>282</v>
      </c>
      <c r="K45" t="s">
        <v>141</v>
      </c>
      <c r="L45">
        <f t="shared" si="9"/>
        <v>1078.21875</v>
      </c>
      <c r="M45" s="16">
        <f t="shared" si="5"/>
        <v>9.2745558357244295</v>
      </c>
      <c r="O45">
        <f t="shared" si="6"/>
        <v>10800947.777777778</v>
      </c>
      <c r="P45" s="37">
        <f t="shared" si="7"/>
        <v>3197.6490131578948</v>
      </c>
      <c r="Q45" s="38">
        <f t="shared" si="8"/>
        <v>110464.23863636363</v>
      </c>
    </row>
    <row r="46" spans="1:17">
      <c r="A46" t="s">
        <v>121</v>
      </c>
      <c r="B46">
        <v>21699</v>
      </c>
      <c r="C46">
        <v>24</v>
      </c>
      <c r="D46">
        <v>26</v>
      </c>
      <c r="E46">
        <v>850</v>
      </c>
      <c r="F46">
        <v>1005</v>
      </c>
      <c r="G46">
        <v>46</v>
      </c>
      <c r="H46">
        <v>39</v>
      </c>
      <c r="I46" s="39">
        <v>6084977</v>
      </c>
      <c r="J46" s="39">
        <v>280</v>
      </c>
      <c r="K46" t="s">
        <v>141</v>
      </c>
      <c r="L46">
        <f t="shared" si="9"/>
        <v>834.57692307692309</v>
      </c>
      <c r="M46" s="16">
        <f t="shared" si="5"/>
        <v>11.060417530761786</v>
      </c>
      <c r="O46">
        <f t="shared" si="6"/>
        <v>6761085.555555555</v>
      </c>
      <c r="P46" s="37">
        <f t="shared" si="7"/>
        <v>6054.7034825870651</v>
      </c>
      <c r="Q46" s="38">
        <f t="shared" si="8"/>
        <v>132282.10869565216</v>
      </c>
    </row>
    <row r="47" spans="1:17">
      <c r="A47" t="s">
        <v>72</v>
      </c>
      <c r="B47">
        <v>5669</v>
      </c>
      <c r="C47">
        <v>10</v>
      </c>
      <c r="D47">
        <v>10</v>
      </c>
      <c r="E47">
        <v>567</v>
      </c>
      <c r="F47">
        <v>1521</v>
      </c>
      <c r="G47">
        <v>268</v>
      </c>
      <c r="H47">
        <v>152</v>
      </c>
      <c r="I47" s="39">
        <v>1582171</v>
      </c>
      <c r="J47" s="39">
        <v>279</v>
      </c>
      <c r="K47" t="s">
        <v>141</v>
      </c>
      <c r="L47">
        <f t="shared" si="9"/>
        <v>566.9</v>
      </c>
      <c r="M47" s="16">
        <f t="shared" si="5"/>
        <v>17.639795378373609</v>
      </c>
      <c r="O47">
        <f t="shared" si="6"/>
        <v>2260244.2857142859</v>
      </c>
      <c r="P47" s="37">
        <f t="shared" si="7"/>
        <v>1040.2176199868507</v>
      </c>
      <c r="Q47" s="38">
        <f t="shared" si="8"/>
        <v>5903.623134328358</v>
      </c>
    </row>
    <row r="48" spans="1:17">
      <c r="A48" t="s">
        <v>113</v>
      </c>
      <c r="B48">
        <v>162928</v>
      </c>
      <c r="C48">
        <v>166</v>
      </c>
      <c r="D48">
        <v>178</v>
      </c>
      <c r="E48">
        <v>916</v>
      </c>
      <c r="F48">
        <v>8331</v>
      </c>
      <c r="G48">
        <v>51</v>
      </c>
      <c r="H48">
        <v>47</v>
      </c>
      <c r="I48" s="39">
        <v>45251468</v>
      </c>
      <c r="J48" s="39">
        <v>278</v>
      </c>
      <c r="K48" t="s">
        <v>141</v>
      </c>
      <c r="L48">
        <f t="shared" si="9"/>
        <v>915.32584269662925</v>
      </c>
      <c r="M48" s="16">
        <f t="shared" si="5"/>
        <v>10.188549543356574</v>
      </c>
      <c r="O48">
        <f t="shared" si="6"/>
        <v>50279408.888888888</v>
      </c>
      <c r="P48" s="37">
        <f t="shared" si="7"/>
        <v>5431.6970351698474</v>
      </c>
      <c r="Q48" s="38">
        <f t="shared" si="8"/>
        <v>887283.68627450976</v>
      </c>
    </row>
    <row r="49" spans="1:17">
      <c r="A49" t="s">
        <v>111</v>
      </c>
      <c r="B49">
        <v>58309</v>
      </c>
      <c r="C49">
        <v>70</v>
      </c>
      <c r="D49">
        <v>70</v>
      </c>
      <c r="E49">
        <v>833</v>
      </c>
      <c r="F49">
        <v>3014</v>
      </c>
      <c r="G49">
        <v>52</v>
      </c>
      <c r="H49">
        <v>43</v>
      </c>
      <c r="I49" s="39">
        <v>16070284</v>
      </c>
      <c r="J49" s="39">
        <v>276</v>
      </c>
      <c r="K49" t="s">
        <v>141</v>
      </c>
      <c r="L49">
        <f t="shared" si="9"/>
        <v>832.98571428571427</v>
      </c>
      <c r="M49" s="16">
        <f t="shared" si="5"/>
        <v>12.005007803255072</v>
      </c>
      <c r="N49">
        <v>1</v>
      </c>
      <c r="O49">
        <f t="shared" si="6"/>
        <v>17855871.111111112</v>
      </c>
      <c r="P49" s="37">
        <f t="shared" si="7"/>
        <v>5331.8792302587926</v>
      </c>
      <c r="Q49" s="38">
        <f t="shared" si="8"/>
        <v>309043.92307692306</v>
      </c>
    </row>
    <row r="50" spans="1:17">
      <c r="A50" t="s">
        <v>62</v>
      </c>
      <c r="B50">
        <v>32058</v>
      </c>
      <c r="C50">
        <v>31</v>
      </c>
      <c r="D50">
        <v>31</v>
      </c>
      <c r="E50">
        <v>1021</v>
      </c>
      <c r="F50">
        <v>4124</v>
      </c>
      <c r="G50">
        <v>129</v>
      </c>
      <c r="H50">
        <v>131</v>
      </c>
      <c r="I50" s="39">
        <v>8558798</v>
      </c>
      <c r="J50" s="39">
        <v>267</v>
      </c>
      <c r="K50" t="s">
        <v>141</v>
      </c>
      <c r="L50">
        <f t="shared" si="9"/>
        <v>1034.1290322580646</v>
      </c>
      <c r="M50" s="16">
        <f t="shared" si="5"/>
        <v>9.6699731736228092</v>
      </c>
      <c r="O50">
        <f t="shared" si="6"/>
        <v>9509775.555555556</v>
      </c>
      <c r="P50" s="37">
        <f t="shared" si="7"/>
        <v>2075.3632395732297</v>
      </c>
      <c r="Q50" s="38">
        <f t="shared" si="8"/>
        <v>66347.271317829451</v>
      </c>
    </row>
    <row r="51" spans="1:17">
      <c r="A51" t="s">
        <v>123</v>
      </c>
      <c r="B51">
        <v>69305</v>
      </c>
      <c r="C51">
        <v>76</v>
      </c>
      <c r="D51">
        <v>80</v>
      </c>
      <c r="E51">
        <v>868</v>
      </c>
      <c r="F51">
        <v>3052</v>
      </c>
      <c r="G51">
        <v>44</v>
      </c>
      <c r="H51">
        <v>38</v>
      </c>
      <c r="I51" s="39">
        <v>18211999</v>
      </c>
      <c r="J51" s="39">
        <v>263</v>
      </c>
      <c r="K51" t="s">
        <v>141</v>
      </c>
      <c r="L51">
        <f t="shared" si="9"/>
        <v>866.3125</v>
      </c>
      <c r="M51" s="16">
        <f t="shared" si="5"/>
        <v>10.966019767693529</v>
      </c>
      <c r="O51">
        <f t="shared" si="6"/>
        <v>20235554.444444444</v>
      </c>
      <c r="P51" s="37">
        <f t="shared" si="7"/>
        <v>5967.234272608126</v>
      </c>
      <c r="Q51" s="38">
        <f t="shared" si="8"/>
        <v>413909.06818181818</v>
      </c>
    </row>
    <row r="52" spans="1:17">
      <c r="A52" t="s">
        <v>126</v>
      </c>
      <c r="B52">
        <v>20926</v>
      </c>
      <c r="C52">
        <v>21</v>
      </c>
      <c r="D52">
        <v>21</v>
      </c>
      <c r="E52">
        <v>996</v>
      </c>
      <c r="F52">
        <v>1460</v>
      </c>
      <c r="G52">
        <v>70</v>
      </c>
      <c r="H52">
        <v>70</v>
      </c>
      <c r="I52" s="39">
        <v>5455086</v>
      </c>
      <c r="J52" s="39">
        <v>261</v>
      </c>
      <c r="K52" t="s">
        <v>141</v>
      </c>
      <c r="L52">
        <f t="shared" si="9"/>
        <v>996.47619047619048</v>
      </c>
      <c r="M52" s="16">
        <f t="shared" si="5"/>
        <v>10.035362706680685</v>
      </c>
      <c r="O52">
        <f t="shared" si="6"/>
        <v>6061206.666666667</v>
      </c>
      <c r="P52" s="37">
        <f t="shared" si="7"/>
        <v>3736.360273972603</v>
      </c>
      <c r="Q52" s="38">
        <f t="shared" si="8"/>
        <v>77929.8</v>
      </c>
    </row>
    <row r="53" spans="1:17">
      <c r="A53" t="s">
        <v>110</v>
      </c>
      <c r="B53">
        <v>17499</v>
      </c>
      <c r="C53">
        <v>19</v>
      </c>
      <c r="D53">
        <v>19</v>
      </c>
      <c r="E53">
        <v>972</v>
      </c>
      <c r="F53">
        <v>750</v>
      </c>
      <c r="G53">
        <v>43</v>
      </c>
      <c r="H53">
        <v>42</v>
      </c>
      <c r="I53" s="39">
        <v>4468020</v>
      </c>
      <c r="J53" s="39">
        <v>255</v>
      </c>
      <c r="K53" t="s">
        <v>141</v>
      </c>
      <c r="L53">
        <f t="shared" si="9"/>
        <v>921</v>
      </c>
      <c r="M53" s="16">
        <f t="shared" si="5"/>
        <v>10.857763300760043</v>
      </c>
      <c r="O53">
        <f t="shared" si="6"/>
        <v>4964466.666666667</v>
      </c>
      <c r="P53" s="37">
        <f t="shared" si="7"/>
        <v>5957.36</v>
      </c>
      <c r="Q53" s="38">
        <f t="shared" si="8"/>
        <v>103907.44186046511</v>
      </c>
    </row>
    <row r="54" spans="1:17">
      <c r="A54" t="s">
        <v>61</v>
      </c>
      <c r="B54">
        <v>174307</v>
      </c>
      <c r="C54">
        <v>179</v>
      </c>
      <c r="D54">
        <v>187</v>
      </c>
      <c r="E54">
        <v>930</v>
      </c>
      <c r="F54">
        <v>7524</v>
      </c>
      <c r="G54">
        <v>43</v>
      </c>
      <c r="H54">
        <v>40</v>
      </c>
      <c r="I54" s="39">
        <v>42881952</v>
      </c>
      <c r="J54" s="39">
        <v>246</v>
      </c>
      <c r="K54" t="s">
        <v>141</v>
      </c>
      <c r="L54">
        <f t="shared" si="9"/>
        <v>932.12299465240642</v>
      </c>
      <c r="M54" s="16">
        <f t="shared" si="5"/>
        <v>10.269237609505069</v>
      </c>
      <c r="O54">
        <f t="shared" si="6"/>
        <v>47646613.333333336</v>
      </c>
      <c r="P54" s="37">
        <f t="shared" si="7"/>
        <v>5699.3556618819775</v>
      </c>
      <c r="Q54" s="38">
        <f t="shared" si="8"/>
        <v>997254.69767441857</v>
      </c>
    </row>
    <row r="55" spans="1:17">
      <c r="A55" t="s">
        <v>70</v>
      </c>
      <c r="B55">
        <v>6188</v>
      </c>
      <c r="C55">
        <v>7</v>
      </c>
      <c r="D55">
        <v>7</v>
      </c>
      <c r="E55">
        <v>884</v>
      </c>
      <c r="F55">
        <v>551</v>
      </c>
      <c r="G55">
        <v>89</v>
      </c>
      <c r="H55">
        <v>79</v>
      </c>
      <c r="I55" s="39">
        <v>1518310</v>
      </c>
      <c r="J55" s="39">
        <v>245</v>
      </c>
      <c r="K55" t="s">
        <v>141</v>
      </c>
      <c r="L55">
        <f t="shared" si="9"/>
        <v>884</v>
      </c>
      <c r="M55" s="16">
        <f t="shared" si="5"/>
        <v>11.312217194570136</v>
      </c>
      <c r="O55">
        <f t="shared" si="6"/>
        <v>2169014.2857142859</v>
      </c>
      <c r="P55" s="37">
        <f t="shared" si="7"/>
        <v>2755.5535390199639</v>
      </c>
      <c r="Q55" s="38">
        <f t="shared" si="8"/>
        <v>17059.662921348314</v>
      </c>
    </row>
    <row r="56" spans="1:17">
      <c r="A56" t="s">
        <v>60</v>
      </c>
      <c r="B56">
        <v>22151</v>
      </c>
      <c r="C56">
        <v>24</v>
      </c>
      <c r="D56">
        <v>24</v>
      </c>
      <c r="E56">
        <v>923</v>
      </c>
      <c r="F56">
        <v>1392</v>
      </c>
      <c r="G56">
        <v>63</v>
      </c>
      <c r="H56">
        <v>58</v>
      </c>
      <c r="I56" s="39">
        <v>5244986</v>
      </c>
      <c r="J56" s="39">
        <v>237</v>
      </c>
      <c r="K56" t="s">
        <v>141</v>
      </c>
      <c r="L56">
        <f t="shared" si="9"/>
        <v>922.95833333333337</v>
      </c>
      <c r="M56" s="16">
        <f t="shared" si="5"/>
        <v>10.834725294569093</v>
      </c>
      <c r="N56">
        <v>1</v>
      </c>
      <c r="O56">
        <f t="shared" si="6"/>
        <v>5827762.222222222</v>
      </c>
      <c r="P56" s="37">
        <f t="shared" si="7"/>
        <v>3767.9497126436781</v>
      </c>
      <c r="Q56" s="38">
        <f t="shared" si="8"/>
        <v>83253.746031746035</v>
      </c>
    </row>
    <row r="57" spans="1:17">
      <c r="A57" t="s">
        <v>90</v>
      </c>
      <c r="B57">
        <v>11440</v>
      </c>
      <c r="C57">
        <v>12</v>
      </c>
      <c r="D57">
        <v>13</v>
      </c>
      <c r="E57">
        <v>875</v>
      </c>
      <c r="F57">
        <v>1319</v>
      </c>
      <c r="G57">
        <v>115</v>
      </c>
      <c r="H57">
        <v>101</v>
      </c>
      <c r="I57" s="39">
        <v>2702697</v>
      </c>
      <c r="J57" s="39">
        <v>236</v>
      </c>
      <c r="K57" t="s">
        <v>141</v>
      </c>
      <c r="L57">
        <f t="shared" si="9"/>
        <v>880</v>
      </c>
      <c r="M57" s="16">
        <f t="shared" si="5"/>
        <v>10.48951048951049</v>
      </c>
      <c r="O57">
        <f t="shared" si="6"/>
        <v>3860995.7142857146</v>
      </c>
      <c r="P57" s="37">
        <f t="shared" si="7"/>
        <v>2049.0500379075056</v>
      </c>
      <c r="Q57" s="38">
        <f t="shared" si="8"/>
        <v>23501.713043478259</v>
      </c>
    </row>
    <row r="58" spans="1:17">
      <c r="A58" t="s">
        <v>119</v>
      </c>
      <c r="B58">
        <v>102285</v>
      </c>
      <c r="C58">
        <v>87</v>
      </c>
      <c r="D58">
        <v>87</v>
      </c>
      <c r="E58">
        <v>1176</v>
      </c>
      <c r="F58">
        <v>3262</v>
      </c>
      <c r="G58">
        <v>32</v>
      </c>
      <c r="H58">
        <v>37</v>
      </c>
      <c r="I58" s="39">
        <v>22853972</v>
      </c>
      <c r="J58" s="39">
        <v>223</v>
      </c>
      <c r="K58" t="s">
        <v>141</v>
      </c>
      <c r="L58">
        <f t="shared" si="9"/>
        <v>1175.6896551724137</v>
      </c>
      <c r="M58" s="16">
        <f t="shared" si="5"/>
        <v>8.5056459891479683</v>
      </c>
      <c r="O58">
        <f t="shared" si="6"/>
        <v>25393302.22222222</v>
      </c>
      <c r="P58" s="37">
        <f t="shared" si="7"/>
        <v>7006.1226241569593</v>
      </c>
      <c r="Q58" s="38">
        <f t="shared" si="8"/>
        <v>714186.625</v>
      </c>
    </row>
    <row r="59" spans="1:17">
      <c r="A59" t="s">
        <v>84</v>
      </c>
      <c r="B59">
        <v>14987</v>
      </c>
      <c r="C59">
        <v>18</v>
      </c>
      <c r="D59">
        <v>18</v>
      </c>
      <c r="E59">
        <v>833</v>
      </c>
      <c r="F59">
        <v>1214</v>
      </c>
      <c r="G59">
        <v>81</v>
      </c>
      <c r="H59">
        <v>67</v>
      </c>
      <c r="I59" s="39">
        <v>3322947</v>
      </c>
      <c r="J59" s="39">
        <v>222</v>
      </c>
      <c r="K59" t="s">
        <v>141</v>
      </c>
      <c r="L59">
        <f t="shared" si="9"/>
        <v>832.61111111111109</v>
      </c>
      <c r="M59" s="16">
        <f t="shared" si="5"/>
        <v>12.010409021151665</v>
      </c>
      <c r="O59">
        <f t="shared" si="6"/>
        <v>4747067.1428571427</v>
      </c>
      <c r="P59" s="37">
        <f t="shared" si="7"/>
        <v>2737.1886326194399</v>
      </c>
      <c r="Q59" s="38">
        <f t="shared" si="8"/>
        <v>41024.037037037036</v>
      </c>
    </row>
    <row r="60" spans="1:17">
      <c r="A60" t="s">
        <v>86</v>
      </c>
      <c r="B60">
        <v>14930</v>
      </c>
      <c r="C60">
        <v>21</v>
      </c>
      <c r="D60">
        <v>21</v>
      </c>
      <c r="E60">
        <v>711</v>
      </c>
      <c r="F60">
        <v>1535</v>
      </c>
      <c r="G60">
        <v>103</v>
      </c>
      <c r="H60">
        <v>73</v>
      </c>
      <c r="I60" s="39">
        <v>3311084</v>
      </c>
      <c r="J60" s="39">
        <v>222</v>
      </c>
      <c r="K60" t="s">
        <v>141</v>
      </c>
      <c r="L60">
        <f t="shared" si="9"/>
        <v>710.95238095238096</v>
      </c>
      <c r="M60" s="16">
        <f t="shared" si="5"/>
        <v>14.06563965170797</v>
      </c>
      <c r="O60">
        <f t="shared" si="6"/>
        <v>4730120</v>
      </c>
      <c r="P60" s="37">
        <f t="shared" si="7"/>
        <v>2157.0579804560261</v>
      </c>
      <c r="Q60" s="38">
        <f t="shared" si="8"/>
        <v>32146.446601941749</v>
      </c>
    </row>
    <row r="61" spans="1:17">
      <c r="A61" t="s">
        <v>130</v>
      </c>
      <c r="B61">
        <v>40094</v>
      </c>
      <c r="C61">
        <v>36</v>
      </c>
      <c r="D61">
        <v>36</v>
      </c>
      <c r="E61">
        <v>1114</v>
      </c>
      <c r="F61">
        <v>2173</v>
      </c>
      <c r="G61">
        <v>54</v>
      </c>
      <c r="H61">
        <v>60</v>
      </c>
      <c r="I61" s="39">
        <v>8862602</v>
      </c>
      <c r="J61" s="39">
        <v>221</v>
      </c>
      <c r="K61" t="s">
        <v>141</v>
      </c>
      <c r="L61">
        <f t="shared" si="9"/>
        <v>1113.7222222222222</v>
      </c>
      <c r="M61" s="16">
        <f t="shared" si="5"/>
        <v>8.9788995859729628</v>
      </c>
      <c r="O61">
        <f t="shared" si="6"/>
        <v>9847335.555555556</v>
      </c>
      <c r="P61" s="37">
        <f t="shared" si="7"/>
        <v>4078.5098941555452</v>
      </c>
      <c r="Q61" s="38">
        <f t="shared" si="8"/>
        <v>164122.25925925927</v>
      </c>
    </row>
    <row r="62" spans="1:17">
      <c r="A62" t="s">
        <v>29</v>
      </c>
      <c r="B62">
        <v>13289</v>
      </c>
      <c r="C62">
        <v>16</v>
      </c>
      <c r="D62">
        <v>16</v>
      </c>
      <c r="E62">
        <v>831</v>
      </c>
      <c r="F62">
        <v>517</v>
      </c>
      <c r="G62">
        <v>39</v>
      </c>
      <c r="H62">
        <v>32</v>
      </c>
      <c r="I62" s="39">
        <v>2911018</v>
      </c>
      <c r="J62" s="39">
        <v>219</v>
      </c>
      <c r="K62" t="s">
        <v>141</v>
      </c>
      <c r="L62">
        <f t="shared" si="9"/>
        <v>830.5625</v>
      </c>
      <c r="M62" s="16">
        <f t="shared" si="5"/>
        <v>12.040033110091052</v>
      </c>
      <c r="N62">
        <v>1</v>
      </c>
      <c r="O62">
        <f t="shared" si="6"/>
        <v>4158597.1428571432</v>
      </c>
      <c r="P62" s="37">
        <f t="shared" si="7"/>
        <v>5630.5957446808507</v>
      </c>
      <c r="Q62" s="38">
        <f t="shared" si="8"/>
        <v>74641.487179487172</v>
      </c>
    </row>
    <row r="63" spans="1:17">
      <c r="A63" t="s">
        <v>127</v>
      </c>
      <c r="B63">
        <v>17128</v>
      </c>
      <c r="C63">
        <v>16</v>
      </c>
      <c r="D63">
        <v>16</v>
      </c>
      <c r="E63">
        <v>1071</v>
      </c>
      <c r="F63">
        <v>1169</v>
      </c>
      <c r="G63">
        <v>68</v>
      </c>
      <c r="H63">
        <v>84</v>
      </c>
      <c r="I63" s="39">
        <v>3360601</v>
      </c>
      <c r="J63" s="39">
        <v>196</v>
      </c>
      <c r="K63" t="s">
        <v>141</v>
      </c>
      <c r="L63">
        <f t="shared" si="9"/>
        <v>1070.5</v>
      </c>
      <c r="M63" s="16">
        <f t="shared" si="5"/>
        <v>9.3414292386735163</v>
      </c>
      <c r="N63">
        <v>1</v>
      </c>
      <c r="O63">
        <f t="shared" si="6"/>
        <v>3734001.111111111</v>
      </c>
      <c r="P63" s="37">
        <f t="shared" si="7"/>
        <v>2874.7656116338753</v>
      </c>
      <c r="Q63" s="38">
        <f t="shared" si="8"/>
        <v>49420.602941176468</v>
      </c>
    </row>
    <row r="64" spans="1:17">
      <c r="A64" t="s">
        <v>73</v>
      </c>
      <c r="B64">
        <v>7009</v>
      </c>
      <c r="C64">
        <v>6</v>
      </c>
      <c r="D64">
        <v>6</v>
      </c>
      <c r="E64">
        <v>1168</v>
      </c>
      <c r="F64">
        <v>278</v>
      </c>
      <c r="G64">
        <v>40</v>
      </c>
      <c r="H64">
        <v>46</v>
      </c>
      <c r="I64" s="39">
        <v>1351318</v>
      </c>
      <c r="J64" s="39">
        <v>193</v>
      </c>
      <c r="K64" t="s">
        <v>141</v>
      </c>
      <c r="L64">
        <f t="shared" si="9"/>
        <v>1168.1666666666667</v>
      </c>
      <c r="M64" s="16">
        <f t="shared" si="5"/>
        <v>8.5604223141674982</v>
      </c>
      <c r="O64">
        <f t="shared" si="6"/>
        <v>1930454.2857142859</v>
      </c>
      <c r="P64" s="37">
        <f t="shared" si="7"/>
        <v>4860.8561151079139</v>
      </c>
      <c r="Q64" s="38">
        <f t="shared" si="8"/>
        <v>33782.949999999997</v>
      </c>
    </row>
    <row r="65" spans="1:17">
      <c r="A65" t="s">
        <v>83</v>
      </c>
      <c r="B65">
        <v>5777</v>
      </c>
      <c r="C65">
        <v>6</v>
      </c>
      <c r="D65">
        <v>6</v>
      </c>
      <c r="E65">
        <v>963</v>
      </c>
      <c r="F65">
        <v>460</v>
      </c>
      <c r="G65">
        <v>80</v>
      </c>
      <c r="H65">
        <v>77</v>
      </c>
      <c r="I65" s="39">
        <v>1074837</v>
      </c>
      <c r="J65" s="39">
        <v>186</v>
      </c>
      <c r="K65" t="s">
        <v>141</v>
      </c>
      <c r="L65">
        <f t="shared" si="9"/>
        <v>962.83333333333337</v>
      </c>
      <c r="M65" s="16">
        <f t="shared" si="5"/>
        <v>10.386013501817553</v>
      </c>
      <c r="O65">
        <f t="shared" si="6"/>
        <v>1535481.4285714286</v>
      </c>
      <c r="P65" s="37">
        <f t="shared" si="7"/>
        <v>2336.6021739130433</v>
      </c>
      <c r="Q65" s="38">
        <f t="shared" si="8"/>
        <v>13435.4625</v>
      </c>
    </row>
    <row r="66" spans="1:17">
      <c r="A66" t="s">
        <v>82</v>
      </c>
      <c r="B66">
        <v>5273</v>
      </c>
      <c r="C66">
        <v>6</v>
      </c>
      <c r="D66">
        <v>6</v>
      </c>
      <c r="E66">
        <v>879</v>
      </c>
      <c r="F66">
        <v>393</v>
      </c>
      <c r="G66">
        <v>75</v>
      </c>
      <c r="H66">
        <v>66</v>
      </c>
      <c r="I66" s="39">
        <v>969508</v>
      </c>
      <c r="J66" s="39">
        <v>184</v>
      </c>
      <c r="K66" t="s">
        <v>141</v>
      </c>
      <c r="L66">
        <f t="shared" si="9"/>
        <v>878.83333333333337</v>
      </c>
      <c r="M66" s="16">
        <f t="shared" ref="M66:M79" si="10">10000*C66/B66</f>
        <v>11.378721790252229</v>
      </c>
      <c r="O66">
        <f t="shared" ref="O66:O79" si="11">IF(K66="RCMP",IF(B66&gt;15000,I66/0.9,I66/0.7),I66)</f>
        <v>1385011.4285714286</v>
      </c>
      <c r="P66" s="37">
        <f t="shared" ref="P66:P79" si="12">I66/F66</f>
        <v>2466.9414758269722</v>
      </c>
      <c r="Q66" s="38">
        <f t="shared" ref="Q66:Q79" si="13">I66/G66</f>
        <v>12926.773333333333</v>
      </c>
    </row>
    <row r="67" spans="1:17">
      <c r="A67" t="s">
        <v>78</v>
      </c>
      <c r="B67">
        <v>9895</v>
      </c>
      <c r="C67">
        <v>8</v>
      </c>
      <c r="D67">
        <v>8</v>
      </c>
      <c r="E67">
        <v>1237</v>
      </c>
      <c r="F67">
        <v>526</v>
      </c>
      <c r="G67">
        <v>53</v>
      </c>
      <c r="H67">
        <v>66</v>
      </c>
      <c r="I67" s="39">
        <v>1809172</v>
      </c>
      <c r="J67" s="39">
        <v>183</v>
      </c>
      <c r="K67" t="s">
        <v>141</v>
      </c>
      <c r="L67">
        <f t="shared" si="9"/>
        <v>1236.875</v>
      </c>
      <c r="M67" s="16">
        <f t="shared" si="10"/>
        <v>8.0848913592723601</v>
      </c>
      <c r="O67">
        <f t="shared" si="11"/>
        <v>2584531.4285714286</v>
      </c>
      <c r="P67" s="37">
        <f t="shared" si="12"/>
        <v>3439.4904942965782</v>
      </c>
      <c r="Q67" s="38">
        <f t="shared" si="13"/>
        <v>34135.32075471698</v>
      </c>
    </row>
    <row r="68" spans="1:17">
      <c r="A68" t="s">
        <v>81</v>
      </c>
      <c r="B68">
        <v>13349</v>
      </c>
      <c r="C68">
        <v>12</v>
      </c>
      <c r="D68">
        <v>12</v>
      </c>
      <c r="E68">
        <v>1112</v>
      </c>
      <c r="F68">
        <v>356</v>
      </c>
      <c r="G68">
        <v>27</v>
      </c>
      <c r="H68">
        <v>30</v>
      </c>
      <c r="I68" s="39">
        <v>2399698</v>
      </c>
      <c r="J68" s="39">
        <v>180</v>
      </c>
      <c r="K68" t="s">
        <v>141</v>
      </c>
      <c r="L68">
        <f t="shared" si="9"/>
        <v>1112.4166666666667</v>
      </c>
      <c r="M68" s="16">
        <f t="shared" si="10"/>
        <v>8.9894374110420259</v>
      </c>
      <c r="N68">
        <v>1</v>
      </c>
      <c r="O68">
        <f t="shared" si="11"/>
        <v>3428140</v>
      </c>
      <c r="P68" s="37">
        <f t="shared" si="12"/>
        <v>6740.7247191011238</v>
      </c>
      <c r="Q68" s="38">
        <f t="shared" si="13"/>
        <v>88877.703703703708</v>
      </c>
    </row>
    <row r="69" spans="1:17">
      <c r="A69" t="s">
        <v>85</v>
      </c>
      <c r="B69">
        <v>6197</v>
      </c>
      <c r="C69">
        <v>4</v>
      </c>
      <c r="D69">
        <v>4</v>
      </c>
      <c r="E69">
        <v>1549</v>
      </c>
      <c r="F69">
        <v>222</v>
      </c>
      <c r="G69">
        <v>36</v>
      </c>
      <c r="H69">
        <v>56</v>
      </c>
      <c r="I69" s="39">
        <v>1084656</v>
      </c>
      <c r="J69" s="39">
        <v>175</v>
      </c>
      <c r="K69" t="s">
        <v>141</v>
      </c>
      <c r="L69">
        <f t="shared" si="9"/>
        <v>1549.25</v>
      </c>
      <c r="M69" s="16">
        <f t="shared" si="10"/>
        <v>6.4547361626593514</v>
      </c>
      <c r="O69">
        <f t="shared" si="11"/>
        <v>1549508.5714285716</v>
      </c>
      <c r="P69" s="37">
        <f t="shared" si="12"/>
        <v>4885.8378378378375</v>
      </c>
      <c r="Q69" s="38">
        <f t="shared" si="13"/>
        <v>30129.333333333332</v>
      </c>
    </row>
    <row r="70" spans="1:17">
      <c r="A70" t="s">
        <v>96</v>
      </c>
      <c r="B70">
        <v>12616</v>
      </c>
      <c r="C70">
        <v>14</v>
      </c>
      <c r="D70">
        <v>14</v>
      </c>
      <c r="E70">
        <v>879</v>
      </c>
      <c r="F70">
        <v>628</v>
      </c>
      <c r="G70">
        <v>50</v>
      </c>
      <c r="H70">
        <v>47</v>
      </c>
      <c r="I70" s="39">
        <v>2178355</v>
      </c>
      <c r="J70" s="39">
        <v>173</v>
      </c>
      <c r="K70" t="s">
        <v>141</v>
      </c>
      <c r="L70">
        <f t="shared" si="9"/>
        <v>901.14285714285711</v>
      </c>
      <c r="M70" s="16">
        <f t="shared" si="10"/>
        <v>11.097019657577679</v>
      </c>
      <c r="N70">
        <v>1</v>
      </c>
      <c r="O70">
        <f t="shared" si="11"/>
        <v>3111935.7142857146</v>
      </c>
      <c r="P70" s="37">
        <f t="shared" si="12"/>
        <v>3468.7181528662422</v>
      </c>
      <c r="Q70" s="38">
        <f t="shared" si="13"/>
        <v>43567.1</v>
      </c>
    </row>
    <row r="71" spans="1:17">
      <c r="A71" t="s">
        <v>76</v>
      </c>
      <c r="B71">
        <v>9011</v>
      </c>
      <c r="C71">
        <v>8</v>
      </c>
      <c r="D71">
        <v>8</v>
      </c>
      <c r="E71">
        <v>1126</v>
      </c>
      <c r="F71">
        <v>308</v>
      </c>
      <c r="G71">
        <v>34</v>
      </c>
      <c r="H71">
        <v>39</v>
      </c>
      <c r="I71" s="39">
        <v>1431090</v>
      </c>
      <c r="J71" s="39">
        <v>159</v>
      </c>
      <c r="K71" t="s">
        <v>141</v>
      </c>
      <c r="L71">
        <f t="shared" si="9"/>
        <v>1126.375</v>
      </c>
      <c r="M71" s="16">
        <f t="shared" si="10"/>
        <v>8.8780379536122513</v>
      </c>
      <c r="O71">
        <f t="shared" si="11"/>
        <v>2044414.2857142859</v>
      </c>
      <c r="P71" s="37">
        <f t="shared" si="12"/>
        <v>4646.3961038961043</v>
      </c>
      <c r="Q71" s="38">
        <f t="shared" si="13"/>
        <v>42090.882352941175</v>
      </c>
    </row>
    <row r="72" spans="1:17">
      <c r="A72" t="s">
        <v>66</v>
      </c>
      <c r="B72">
        <v>5778</v>
      </c>
      <c r="C72">
        <v>4</v>
      </c>
      <c r="D72">
        <v>4</v>
      </c>
      <c r="E72">
        <v>1445</v>
      </c>
      <c r="F72">
        <v>264</v>
      </c>
      <c r="G72">
        <v>46</v>
      </c>
      <c r="H72">
        <v>66</v>
      </c>
      <c r="I72" s="39">
        <v>906529</v>
      </c>
      <c r="J72" s="39">
        <v>157</v>
      </c>
      <c r="K72" t="s">
        <v>141</v>
      </c>
      <c r="L72">
        <f t="shared" si="9"/>
        <v>1444.5</v>
      </c>
      <c r="M72" s="16">
        <f t="shared" si="10"/>
        <v>6.9228106611284179</v>
      </c>
      <c r="O72">
        <f t="shared" si="11"/>
        <v>1295041.4285714286</v>
      </c>
      <c r="P72" s="37">
        <f t="shared" si="12"/>
        <v>3433.8219696969695</v>
      </c>
      <c r="Q72" s="38">
        <f t="shared" si="13"/>
        <v>19707.152173913044</v>
      </c>
    </row>
    <row r="73" spans="1:17">
      <c r="A73" t="s">
        <v>75</v>
      </c>
      <c r="B73">
        <v>8100</v>
      </c>
      <c r="C73">
        <v>6</v>
      </c>
      <c r="D73">
        <v>7</v>
      </c>
      <c r="E73">
        <v>1239</v>
      </c>
      <c r="F73">
        <v>408</v>
      </c>
      <c r="G73">
        <v>50</v>
      </c>
      <c r="H73">
        <v>62</v>
      </c>
      <c r="I73" s="39">
        <v>1222293</v>
      </c>
      <c r="J73" s="39">
        <v>151</v>
      </c>
      <c r="K73" t="s">
        <v>141</v>
      </c>
      <c r="L73">
        <f t="shared" si="9"/>
        <v>1157.1428571428571</v>
      </c>
      <c r="M73" s="16">
        <f t="shared" si="10"/>
        <v>7.4074074074074074</v>
      </c>
      <c r="O73">
        <f t="shared" si="11"/>
        <v>1746132.8571428573</v>
      </c>
      <c r="P73" s="37">
        <f t="shared" si="12"/>
        <v>2995.8161764705883</v>
      </c>
      <c r="Q73" s="38">
        <f t="shared" si="13"/>
        <v>24445.86</v>
      </c>
    </row>
    <row r="74" spans="1:17">
      <c r="A74" t="s">
        <v>87</v>
      </c>
      <c r="B74">
        <v>9360</v>
      </c>
      <c r="C74">
        <v>8</v>
      </c>
      <c r="D74">
        <v>8</v>
      </c>
      <c r="E74">
        <v>1170</v>
      </c>
      <c r="F74">
        <v>340</v>
      </c>
      <c r="G74">
        <v>36</v>
      </c>
      <c r="H74">
        <v>43</v>
      </c>
      <c r="I74" s="39">
        <v>1361236</v>
      </c>
      <c r="J74" s="39">
        <v>145</v>
      </c>
      <c r="K74" t="s">
        <v>141</v>
      </c>
      <c r="L74">
        <f t="shared" si="9"/>
        <v>1170</v>
      </c>
      <c r="M74" s="16">
        <f t="shared" si="10"/>
        <v>8.5470085470085468</v>
      </c>
      <c r="O74">
        <f t="shared" si="11"/>
        <v>1944622.8571428573</v>
      </c>
      <c r="P74" s="37">
        <f t="shared" si="12"/>
        <v>4003.6352941176469</v>
      </c>
      <c r="Q74" s="38">
        <f t="shared" si="13"/>
        <v>37812.111111111109</v>
      </c>
    </row>
    <row r="75" spans="1:17">
      <c r="A75" t="s">
        <v>69</v>
      </c>
      <c r="B75">
        <v>15969</v>
      </c>
      <c r="C75">
        <v>12</v>
      </c>
      <c r="D75">
        <v>12</v>
      </c>
      <c r="E75">
        <v>1377</v>
      </c>
      <c r="F75">
        <v>554</v>
      </c>
      <c r="G75">
        <v>35</v>
      </c>
      <c r="H75">
        <v>48</v>
      </c>
      <c r="I75" s="39">
        <v>2188037</v>
      </c>
      <c r="J75" s="39">
        <v>137</v>
      </c>
      <c r="K75" t="s">
        <v>141</v>
      </c>
      <c r="L75">
        <f t="shared" si="9"/>
        <v>1330.75</v>
      </c>
      <c r="M75" s="16">
        <f t="shared" si="10"/>
        <v>7.5145594589517186</v>
      </c>
      <c r="O75">
        <f t="shared" si="11"/>
        <v>2431152.222222222</v>
      </c>
      <c r="P75" s="37">
        <f t="shared" si="12"/>
        <v>3949.5252707581226</v>
      </c>
      <c r="Q75" s="38">
        <f t="shared" si="13"/>
        <v>62515.342857142859</v>
      </c>
    </row>
    <row r="76" spans="1:17">
      <c r="A76" t="s">
        <v>68</v>
      </c>
      <c r="B76">
        <v>11548</v>
      </c>
      <c r="C76">
        <v>7</v>
      </c>
      <c r="D76">
        <v>7</v>
      </c>
      <c r="E76">
        <v>1650</v>
      </c>
      <c r="F76">
        <v>332</v>
      </c>
      <c r="G76">
        <v>29</v>
      </c>
      <c r="H76">
        <v>47</v>
      </c>
      <c r="I76" s="39">
        <v>1546560</v>
      </c>
      <c r="J76" s="39">
        <v>134</v>
      </c>
      <c r="K76" t="s">
        <v>141</v>
      </c>
      <c r="L76">
        <f t="shared" si="9"/>
        <v>1649.7142857142858</v>
      </c>
      <c r="M76" s="16">
        <f t="shared" si="10"/>
        <v>6.0616556979563558</v>
      </c>
      <c r="O76">
        <f t="shared" si="11"/>
        <v>2209371.4285714286</v>
      </c>
      <c r="P76" s="37">
        <f t="shared" si="12"/>
        <v>4658.3132530120483</v>
      </c>
      <c r="Q76" s="38">
        <f t="shared" si="13"/>
        <v>53329.65517241379</v>
      </c>
    </row>
    <row r="77" spans="1:17">
      <c r="A77" t="s">
        <v>93</v>
      </c>
      <c r="B77">
        <v>12492</v>
      </c>
      <c r="C77">
        <v>9</v>
      </c>
      <c r="D77">
        <v>9</v>
      </c>
      <c r="E77">
        <v>1388</v>
      </c>
      <c r="F77">
        <v>631</v>
      </c>
      <c r="G77">
        <v>51</v>
      </c>
      <c r="H77">
        <v>70</v>
      </c>
      <c r="I77" s="39">
        <v>1645468</v>
      </c>
      <c r="J77" s="39">
        <v>132</v>
      </c>
      <c r="K77" t="s">
        <v>141</v>
      </c>
      <c r="L77">
        <f t="shared" si="9"/>
        <v>1388</v>
      </c>
      <c r="M77" s="16">
        <f t="shared" si="10"/>
        <v>7.2046109510086458</v>
      </c>
      <c r="O77">
        <f t="shared" si="11"/>
        <v>2350668.5714285714</v>
      </c>
      <c r="P77" s="37">
        <f t="shared" si="12"/>
        <v>2607.7147385103012</v>
      </c>
      <c r="Q77" s="38">
        <f t="shared" si="13"/>
        <v>32264.078431372549</v>
      </c>
    </row>
    <row r="78" spans="1:17">
      <c r="A78" t="s">
        <v>92</v>
      </c>
      <c r="B78">
        <v>5786</v>
      </c>
      <c r="C78">
        <v>4</v>
      </c>
      <c r="D78">
        <v>4</v>
      </c>
      <c r="E78">
        <v>1447</v>
      </c>
      <c r="F78">
        <v>203</v>
      </c>
      <c r="G78">
        <v>35</v>
      </c>
      <c r="H78">
        <v>51</v>
      </c>
      <c r="I78" s="39">
        <v>743412</v>
      </c>
      <c r="J78" s="39">
        <v>128</v>
      </c>
      <c r="K78" t="s">
        <v>141</v>
      </c>
      <c r="L78">
        <f t="shared" si="9"/>
        <v>1446.5</v>
      </c>
      <c r="M78" s="16">
        <f t="shared" si="10"/>
        <v>6.9132388524023503</v>
      </c>
      <c r="O78">
        <f t="shared" si="11"/>
        <v>1062017.142857143</v>
      </c>
      <c r="P78" s="37">
        <f t="shared" si="12"/>
        <v>3662.1280788177341</v>
      </c>
      <c r="Q78" s="38">
        <f t="shared" si="13"/>
        <v>21240.342857142856</v>
      </c>
    </row>
    <row r="79" spans="1:17">
      <c r="A79" t="s">
        <v>80</v>
      </c>
      <c r="B79">
        <v>5332</v>
      </c>
      <c r="C79">
        <v>5</v>
      </c>
      <c r="D79">
        <v>5</v>
      </c>
      <c r="E79">
        <v>1066</v>
      </c>
      <c r="F79">
        <v>139</v>
      </c>
      <c r="G79">
        <v>26</v>
      </c>
      <c r="H79">
        <v>28</v>
      </c>
      <c r="I79" s="39">
        <v>666924</v>
      </c>
      <c r="J79" s="39">
        <v>125</v>
      </c>
      <c r="K79" t="s">
        <v>141</v>
      </c>
      <c r="L79">
        <f t="shared" si="9"/>
        <v>1066.4000000000001</v>
      </c>
      <c r="M79" s="16">
        <f t="shared" si="10"/>
        <v>9.3773443360840218</v>
      </c>
      <c r="N79">
        <v>1</v>
      </c>
      <c r="O79">
        <f t="shared" si="11"/>
        <v>952748.57142857148</v>
      </c>
      <c r="P79" s="37">
        <f t="shared" si="12"/>
        <v>4798.0143884892086</v>
      </c>
      <c r="Q79" s="38">
        <f t="shared" si="13"/>
        <v>25650.923076923078</v>
      </c>
    </row>
  </sheetData>
  <autoFilter ref="A1:Q79" xr:uid="{3FD159EE-1376-46B3-9B84-393AC66ECA7F}">
    <sortState xmlns:xlrd2="http://schemas.microsoft.com/office/spreadsheetml/2017/richdata2" ref="A2:Q79">
      <sortCondition descending="1" ref="J1:J79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8841-F695-4332-9BF6-CB326EB11E03}">
  <dimension ref="A1:U109"/>
  <sheetViews>
    <sheetView workbookViewId="0">
      <selection activeCell="N15" sqref="N15"/>
    </sheetView>
  </sheetViews>
  <sheetFormatPr defaultRowHeight="12.75"/>
  <cols>
    <col min="2" max="2" width="8.5703125" customWidth="1"/>
    <col min="5" max="5" width="16" bestFit="1" customWidth="1"/>
    <col min="6" max="6" width="9.28515625" bestFit="1" customWidth="1"/>
  </cols>
  <sheetData>
    <row r="1" spans="1:21">
      <c r="A1" s="16" t="s">
        <v>100</v>
      </c>
      <c r="B1" s="16" t="s">
        <v>101</v>
      </c>
      <c r="C1" s="16" t="s">
        <v>105</v>
      </c>
      <c r="D1" s="16" t="s">
        <v>106</v>
      </c>
      <c r="E1" t="s">
        <v>107</v>
      </c>
      <c r="F1" t="s">
        <v>108</v>
      </c>
      <c r="G1" t="s">
        <v>143</v>
      </c>
    </row>
    <row r="2" spans="1:21">
      <c r="A2" s="13">
        <v>122157</v>
      </c>
      <c r="B2" s="13">
        <v>257</v>
      </c>
      <c r="C2" s="13">
        <v>87</v>
      </c>
      <c r="D2" s="13">
        <v>41</v>
      </c>
      <c r="E2" s="22">
        <v>77147339</v>
      </c>
      <c r="F2" s="22">
        <v>632</v>
      </c>
      <c r="G2" s="19">
        <v>21.038499635714697</v>
      </c>
    </row>
    <row r="3" spans="1:21" ht="13.5" thickBot="1">
      <c r="A3">
        <v>12925</v>
      </c>
      <c r="B3">
        <v>36</v>
      </c>
      <c r="C3">
        <v>138</v>
      </c>
      <c r="D3">
        <v>50</v>
      </c>
      <c r="E3" s="20">
        <v>7884514</v>
      </c>
      <c r="F3" s="20">
        <v>610</v>
      </c>
      <c r="G3" s="16">
        <v>27.852998065764023</v>
      </c>
    </row>
    <row r="4" spans="1:21">
      <c r="A4">
        <v>757849</v>
      </c>
      <c r="B4">
        <v>1452</v>
      </c>
      <c r="C4">
        <v>60</v>
      </c>
      <c r="D4">
        <v>32</v>
      </c>
      <c r="E4" s="20">
        <v>459626680</v>
      </c>
      <c r="F4" s="20">
        <v>606</v>
      </c>
      <c r="G4" s="16">
        <v>19.159489555307193</v>
      </c>
      <c r="I4" s="25"/>
      <c r="J4" s="25" t="s">
        <v>101</v>
      </c>
      <c r="K4" s="25" t="s">
        <v>105</v>
      </c>
      <c r="L4" s="25" t="s">
        <v>106</v>
      </c>
      <c r="M4" s="25" t="s">
        <v>107</v>
      </c>
      <c r="N4" s="25" t="s">
        <v>108</v>
      </c>
      <c r="O4" s="25" t="s">
        <v>143</v>
      </c>
      <c r="P4" s="25"/>
      <c r="Q4" s="25"/>
      <c r="R4" s="25"/>
      <c r="S4" s="25"/>
      <c r="T4" s="25"/>
      <c r="U4" s="25"/>
    </row>
    <row r="5" spans="1:21">
      <c r="A5">
        <v>11382</v>
      </c>
      <c r="B5">
        <v>25</v>
      </c>
      <c r="C5">
        <v>171</v>
      </c>
      <c r="D5">
        <v>78</v>
      </c>
      <c r="E5" s="20">
        <v>5951995</v>
      </c>
      <c r="F5" s="20">
        <v>523</v>
      </c>
      <c r="G5" s="16">
        <v>21.964505359339309</v>
      </c>
      <c r="I5" t="s">
        <v>101</v>
      </c>
      <c r="J5">
        <v>1</v>
      </c>
    </row>
    <row r="6" spans="1:21">
      <c r="A6">
        <v>10238</v>
      </c>
      <c r="B6">
        <v>24</v>
      </c>
      <c r="C6">
        <v>271</v>
      </c>
      <c r="D6">
        <v>116</v>
      </c>
      <c r="E6" s="20">
        <v>5327565</v>
      </c>
      <c r="F6" s="20">
        <v>520</v>
      </c>
      <c r="G6" s="16">
        <v>23.44207853096308</v>
      </c>
      <c r="I6" t="s">
        <v>105</v>
      </c>
      <c r="J6">
        <v>-8.1965169784554717E-2</v>
      </c>
      <c r="K6">
        <v>1</v>
      </c>
    </row>
    <row r="7" spans="1:21">
      <c r="A7">
        <v>19685</v>
      </c>
      <c r="B7">
        <v>34</v>
      </c>
      <c r="C7">
        <v>169</v>
      </c>
      <c r="D7">
        <v>98</v>
      </c>
      <c r="E7" s="20">
        <v>10205584</v>
      </c>
      <c r="F7" s="20">
        <v>518</v>
      </c>
      <c r="G7" s="16">
        <v>17.27203454406909</v>
      </c>
      <c r="I7" t="s">
        <v>106</v>
      </c>
      <c r="J7">
        <v>-0.18580152931350877</v>
      </c>
      <c r="K7" s="26">
        <v>0.82024128305922162</v>
      </c>
      <c r="L7">
        <v>1</v>
      </c>
    </row>
    <row r="8" spans="1:21">
      <c r="A8">
        <v>35315</v>
      </c>
      <c r="B8">
        <v>54</v>
      </c>
      <c r="C8">
        <v>103</v>
      </c>
      <c r="D8">
        <v>62</v>
      </c>
      <c r="E8" s="20">
        <v>17540766</v>
      </c>
      <c r="F8" s="20">
        <v>497</v>
      </c>
      <c r="G8" s="16">
        <v>15.290952852895371</v>
      </c>
      <c r="I8" t="s">
        <v>107</v>
      </c>
      <c r="J8" s="26">
        <v>0.99817950601596761</v>
      </c>
      <c r="K8">
        <v>-8.4260454799341883E-2</v>
      </c>
      <c r="L8">
        <v>-0.1842888008494078</v>
      </c>
      <c r="M8">
        <v>1</v>
      </c>
    </row>
    <row r="9" spans="1:21">
      <c r="A9">
        <v>13251</v>
      </c>
      <c r="B9">
        <v>31</v>
      </c>
      <c r="C9">
        <v>166</v>
      </c>
      <c r="D9">
        <v>71</v>
      </c>
      <c r="E9" s="20">
        <v>6398979</v>
      </c>
      <c r="F9" s="20">
        <v>483</v>
      </c>
      <c r="G9" s="16">
        <v>23.394460795411668</v>
      </c>
      <c r="I9" t="s">
        <v>108</v>
      </c>
      <c r="J9">
        <v>0.38517834765035042</v>
      </c>
      <c r="K9">
        <v>0.51351810861136271</v>
      </c>
      <c r="L9">
        <v>9.8037261890683236E-2</v>
      </c>
      <c r="M9">
        <v>0.38194764433094341</v>
      </c>
      <c r="N9">
        <v>1</v>
      </c>
    </row>
    <row r="10" spans="1:21">
      <c r="A10">
        <v>12775</v>
      </c>
      <c r="B10">
        <v>25</v>
      </c>
      <c r="C10">
        <v>139</v>
      </c>
      <c r="D10">
        <v>71</v>
      </c>
      <c r="E10" s="20">
        <v>5788930</v>
      </c>
      <c r="F10" s="20">
        <v>453</v>
      </c>
      <c r="G10" s="16">
        <v>19.569471624266146</v>
      </c>
      <c r="I10" t="s">
        <v>143</v>
      </c>
      <c r="J10">
        <v>0.16841438466964043</v>
      </c>
      <c r="K10">
        <v>0.67713076923450133</v>
      </c>
      <c r="L10">
        <v>0.19106546052437054</v>
      </c>
      <c r="M10">
        <v>0.16410756028900716</v>
      </c>
      <c r="N10" s="26">
        <v>0.87013488925984916</v>
      </c>
      <c r="O10">
        <v>1</v>
      </c>
    </row>
    <row r="11" spans="1:21">
      <c r="A11">
        <v>12343</v>
      </c>
      <c r="B11">
        <v>23</v>
      </c>
      <c r="C11">
        <v>91</v>
      </c>
      <c r="D11">
        <v>49</v>
      </c>
      <c r="E11" s="20">
        <v>5569187</v>
      </c>
      <c r="F11" s="20">
        <v>451</v>
      </c>
      <c r="G11" s="16">
        <v>18.634043587458478</v>
      </c>
    </row>
    <row r="12" spans="1:21">
      <c r="A12">
        <v>7285</v>
      </c>
      <c r="B12">
        <v>17</v>
      </c>
      <c r="C12">
        <v>226</v>
      </c>
      <c r="D12">
        <v>97</v>
      </c>
      <c r="E12" s="20">
        <v>3263988</v>
      </c>
      <c r="F12" s="20">
        <v>448</v>
      </c>
      <c r="G12" s="16">
        <v>23.335621139327387</v>
      </c>
    </row>
    <row r="13" spans="1:21">
      <c r="A13">
        <v>24286</v>
      </c>
      <c r="B13">
        <v>38</v>
      </c>
      <c r="C13">
        <v>117</v>
      </c>
      <c r="D13">
        <v>75</v>
      </c>
      <c r="E13" s="20">
        <v>10750824</v>
      </c>
      <c r="F13" s="20">
        <v>443</v>
      </c>
      <c r="G13" s="16">
        <v>15.646874742650086</v>
      </c>
    </row>
    <row r="14" spans="1:21" ht="15">
      <c r="A14">
        <v>84907</v>
      </c>
      <c r="B14">
        <v>153</v>
      </c>
      <c r="C14">
        <v>180</v>
      </c>
      <c r="D14">
        <v>100</v>
      </c>
      <c r="E14" s="20">
        <v>37392222</v>
      </c>
      <c r="F14" s="20">
        <v>440</v>
      </c>
      <c r="G14" s="16">
        <v>18.019715688930241</v>
      </c>
      <c r="J14" s="28"/>
    </row>
    <row r="15" spans="1:21" ht="15">
      <c r="A15">
        <v>52280</v>
      </c>
      <c r="B15">
        <v>79</v>
      </c>
      <c r="C15">
        <v>47</v>
      </c>
      <c r="D15">
        <v>30</v>
      </c>
      <c r="E15" s="20">
        <v>22980516</v>
      </c>
      <c r="F15" s="20">
        <v>440</v>
      </c>
      <c r="G15" s="16">
        <v>15.110941086457537</v>
      </c>
      <c r="J15" s="28"/>
    </row>
    <row r="16" spans="1:21" ht="15">
      <c r="A16">
        <v>9169</v>
      </c>
      <c r="B16">
        <v>20</v>
      </c>
      <c r="C16">
        <v>80</v>
      </c>
      <c r="D16">
        <v>37</v>
      </c>
      <c r="E16" s="20">
        <v>4013838</v>
      </c>
      <c r="F16" s="20">
        <v>438</v>
      </c>
      <c r="G16" s="16">
        <v>21.812629512487732</v>
      </c>
      <c r="J16" s="28"/>
    </row>
    <row r="17" spans="1:10" ht="15">
      <c r="A17">
        <v>5653</v>
      </c>
      <c r="B17">
        <v>11</v>
      </c>
      <c r="C17">
        <v>177</v>
      </c>
      <c r="D17">
        <v>91</v>
      </c>
      <c r="E17" s="20">
        <v>2456196</v>
      </c>
      <c r="F17" s="20">
        <v>434</v>
      </c>
      <c r="G17" s="16">
        <v>19.458694498496374</v>
      </c>
      <c r="J17" s="28"/>
    </row>
    <row r="18" spans="1:10" ht="15">
      <c r="A18">
        <v>175219</v>
      </c>
      <c r="B18">
        <v>218</v>
      </c>
      <c r="C18">
        <v>55</v>
      </c>
      <c r="D18">
        <v>43</v>
      </c>
      <c r="E18" s="20">
        <v>71941468</v>
      </c>
      <c r="F18" s="20">
        <v>411</v>
      </c>
      <c r="G18" s="16">
        <v>12.441573117070638</v>
      </c>
      <c r="J18" s="28"/>
    </row>
    <row r="19" spans="1:10" ht="15">
      <c r="A19">
        <v>107769</v>
      </c>
      <c r="B19">
        <v>152</v>
      </c>
      <c r="C19">
        <v>116</v>
      </c>
      <c r="D19">
        <v>75</v>
      </c>
      <c r="E19" s="20">
        <v>43865748</v>
      </c>
      <c r="F19" s="20">
        <v>407</v>
      </c>
      <c r="G19" s="16">
        <v>14.104241479460699</v>
      </c>
      <c r="J19" s="28"/>
    </row>
    <row r="20" spans="1:10" ht="15">
      <c r="A20">
        <v>125444</v>
      </c>
      <c r="B20">
        <v>172</v>
      </c>
      <c r="C20">
        <v>30</v>
      </c>
      <c r="D20">
        <v>22</v>
      </c>
      <c r="E20" s="20">
        <v>50588365</v>
      </c>
      <c r="F20" s="20">
        <v>403</v>
      </c>
      <c r="G20" s="16">
        <v>13.711297471381652</v>
      </c>
      <c r="J20" s="28"/>
    </row>
    <row r="21" spans="1:10" ht="15">
      <c r="A21">
        <v>127830</v>
      </c>
      <c r="B21">
        <v>194</v>
      </c>
      <c r="C21">
        <v>34</v>
      </c>
      <c r="D21">
        <v>22</v>
      </c>
      <c r="E21" s="20">
        <v>51269317</v>
      </c>
      <c r="F21" s="20">
        <v>401</v>
      </c>
      <c r="G21" s="16">
        <v>15.176406164437143</v>
      </c>
      <c r="J21" s="29"/>
    </row>
    <row r="22" spans="1:10" ht="15">
      <c r="A22">
        <v>6832</v>
      </c>
      <c r="B22">
        <v>14</v>
      </c>
      <c r="C22">
        <v>217</v>
      </c>
      <c r="D22">
        <v>96</v>
      </c>
      <c r="E22" s="20">
        <v>2731088</v>
      </c>
      <c r="F22" s="20">
        <v>400</v>
      </c>
      <c r="G22" s="16">
        <v>20.491803278688526</v>
      </c>
      <c r="J22" s="29"/>
    </row>
    <row r="23" spans="1:10" ht="15">
      <c r="A23">
        <v>38943</v>
      </c>
      <c r="B23">
        <v>53</v>
      </c>
      <c r="C23">
        <v>29</v>
      </c>
      <c r="D23">
        <v>21</v>
      </c>
      <c r="E23" s="20">
        <v>15503831</v>
      </c>
      <c r="F23" s="20">
        <v>398</v>
      </c>
      <c r="G23" s="16">
        <v>13.609634594150425</v>
      </c>
      <c r="J23" s="28"/>
    </row>
    <row r="24" spans="1:10" ht="15">
      <c r="A24">
        <v>92435</v>
      </c>
      <c r="B24">
        <v>115</v>
      </c>
      <c r="C24">
        <v>61</v>
      </c>
      <c r="D24">
        <v>48</v>
      </c>
      <c r="E24" s="20">
        <v>36723541</v>
      </c>
      <c r="F24" s="20">
        <v>397</v>
      </c>
      <c r="G24" s="16">
        <v>12.441174879645157</v>
      </c>
      <c r="J24" s="28"/>
    </row>
    <row r="25" spans="1:10" ht="15">
      <c r="A25">
        <v>167395</v>
      </c>
      <c r="B25">
        <v>244</v>
      </c>
      <c r="C25">
        <v>104</v>
      </c>
      <c r="D25">
        <v>71</v>
      </c>
      <c r="E25" s="20">
        <v>66173005</v>
      </c>
      <c r="F25" s="20">
        <v>395</v>
      </c>
      <c r="G25" s="16">
        <v>14.576301562173303</v>
      </c>
      <c r="J25" s="28"/>
    </row>
    <row r="26" spans="1:10" ht="15">
      <c r="A26">
        <v>15620</v>
      </c>
      <c r="B26">
        <v>26</v>
      </c>
      <c r="C26">
        <v>65</v>
      </c>
      <c r="D26">
        <v>39</v>
      </c>
      <c r="E26" s="20">
        <v>6114235</v>
      </c>
      <c r="F26" s="20">
        <v>391</v>
      </c>
      <c r="G26" s="16">
        <v>16.645326504481435</v>
      </c>
      <c r="J26" s="28"/>
    </row>
    <row r="27" spans="1:10" ht="15">
      <c r="A27">
        <v>109628</v>
      </c>
      <c r="B27">
        <v>158</v>
      </c>
      <c r="C27">
        <v>111</v>
      </c>
      <c r="D27">
        <v>77</v>
      </c>
      <c r="E27" s="20">
        <v>39731000</v>
      </c>
      <c r="F27" s="20">
        <v>362</v>
      </c>
      <c r="G27" s="16">
        <v>14.412376400189732</v>
      </c>
      <c r="J27" s="28"/>
    </row>
    <row r="28" spans="1:10" ht="15">
      <c r="A28">
        <v>46606</v>
      </c>
      <c r="B28">
        <v>53</v>
      </c>
      <c r="C28">
        <v>97</v>
      </c>
      <c r="D28">
        <v>78</v>
      </c>
      <c r="E28" s="20">
        <v>16849612</v>
      </c>
      <c r="F28" s="20">
        <v>362</v>
      </c>
      <c r="G28" s="16">
        <v>11.371926361412694</v>
      </c>
      <c r="J28" s="30"/>
    </row>
    <row r="29" spans="1:10" ht="15">
      <c r="A29">
        <v>110700</v>
      </c>
      <c r="B29">
        <v>164</v>
      </c>
      <c r="C29">
        <v>101</v>
      </c>
      <c r="D29">
        <v>68</v>
      </c>
      <c r="E29" s="20">
        <v>39529691</v>
      </c>
      <c r="F29" s="20">
        <v>357</v>
      </c>
      <c r="G29" s="16">
        <v>14.814814814814815</v>
      </c>
      <c r="J29" s="29"/>
    </row>
    <row r="30" spans="1:10" ht="15">
      <c r="A30">
        <v>38767</v>
      </c>
      <c r="B30">
        <v>57</v>
      </c>
      <c r="C30">
        <v>165</v>
      </c>
      <c r="D30">
        <v>112</v>
      </c>
      <c r="E30" s="20">
        <v>13827617</v>
      </c>
      <c r="F30" s="20">
        <v>357</v>
      </c>
      <c r="G30" s="16">
        <v>14.703226971393196</v>
      </c>
      <c r="J30" s="29"/>
    </row>
    <row r="31" spans="1:10" ht="15">
      <c r="A31">
        <v>22720</v>
      </c>
      <c r="B31">
        <v>30</v>
      </c>
      <c r="C31">
        <v>127</v>
      </c>
      <c r="D31">
        <v>96</v>
      </c>
      <c r="E31" s="20">
        <v>8074294</v>
      </c>
      <c r="F31" s="20">
        <v>355</v>
      </c>
      <c r="G31" s="16">
        <v>13.204225352112676</v>
      </c>
      <c r="J31" s="29"/>
    </row>
    <row r="32" spans="1:10" ht="15">
      <c r="A32">
        <v>18135</v>
      </c>
      <c r="B32">
        <v>26</v>
      </c>
      <c r="C32">
        <v>26</v>
      </c>
      <c r="D32">
        <v>18</v>
      </c>
      <c r="E32" s="20">
        <v>6350620</v>
      </c>
      <c r="F32" s="20">
        <v>350</v>
      </c>
      <c r="G32" s="16">
        <v>14.336917562724015</v>
      </c>
      <c r="J32" s="29"/>
    </row>
    <row r="33" spans="1:10" ht="15">
      <c r="A33">
        <v>8402</v>
      </c>
      <c r="B33">
        <v>14</v>
      </c>
      <c r="C33">
        <v>107</v>
      </c>
      <c r="D33">
        <v>64</v>
      </c>
      <c r="E33" s="20">
        <v>2901590</v>
      </c>
      <c r="F33" s="20">
        <v>345</v>
      </c>
      <c r="G33" s="16">
        <v>16.662699357295882</v>
      </c>
      <c r="J33" s="28"/>
    </row>
    <row r="34" spans="1:10" ht="15">
      <c r="A34">
        <v>242965</v>
      </c>
      <c r="B34">
        <v>292</v>
      </c>
      <c r="C34">
        <v>57</v>
      </c>
      <c r="D34">
        <v>46</v>
      </c>
      <c r="E34" s="20">
        <v>78915543</v>
      </c>
      <c r="F34" s="20">
        <v>325</v>
      </c>
      <c r="G34" s="16">
        <v>12.018191920647007</v>
      </c>
      <c r="J34" s="28"/>
    </row>
    <row r="35" spans="1:10" ht="15">
      <c r="A35">
        <v>39153</v>
      </c>
      <c r="B35">
        <v>49</v>
      </c>
      <c r="C35">
        <v>148</v>
      </c>
      <c r="D35">
        <v>118</v>
      </c>
      <c r="E35" s="20">
        <v>12237426</v>
      </c>
      <c r="F35" s="20">
        <v>313</v>
      </c>
      <c r="G35" s="16">
        <v>12.515005235869538</v>
      </c>
      <c r="J35" s="29"/>
    </row>
    <row r="36" spans="1:10" ht="15">
      <c r="A36">
        <v>18803</v>
      </c>
      <c r="B36">
        <v>27</v>
      </c>
      <c r="C36">
        <v>25</v>
      </c>
      <c r="D36">
        <v>18</v>
      </c>
      <c r="E36" s="20">
        <v>5842974</v>
      </c>
      <c r="F36" s="20">
        <v>311</v>
      </c>
      <c r="G36" s="16">
        <v>14.359410732329946</v>
      </c>
      <c r="J36" s="29"/>
    </row>
    <row r="37" spans="1:10" ht="15">
      <c r="A37">
        <v>49167</v>
      </c>
      <c r="B37">
        <v>60</v>
      </c>
      <c r="C37">
        <v>123</v>
      </c>
      <c r="D37">
        <v>101</v>
      </c>
      <c r="E37" s="20">
        <v>14937253</v>
      </c>
      <c r="F37" s="20">
        <v>304</v>
      </c>
      <c r="G37" s="16">
        <v>12.203307096223076</v>
      </c>
      <c r="J37" s="29"/>
    </row>
    <row r="38" spans="1:10" ht="15">
      <c r="A38">
        <v>9181</v>
      </c>
      <c r="B38">
        <v>14</v>
      </c>
      <c r="C38">
        <v>63</v>
      </c>
      <c r="D38">
        <v>42</v>
      </c>
      <c r="E38" s="20">
        <v>2716048</v>
      </c>
      <c r="F38" s="20">
        <v>296</v>
      </c>
      <c r="G38" s="16">
        <v>15.248883563881931</v>
      </c>
      <c r="J38" s="28"/>
    </row>
    <row r="39" spans="1:10" ht="15">
      <c r="A39">
        <v>106493</v>
      </c>
      <c r="B39">
        <v>120</v>
      </c>
      <c r="C39">
        <v>64</v>
      </c>
      <c r="D39">
        <v>53</v>
      </c>
      <c r="E39" s="20">
        <v>31303945</v>
      </c>
      <c r="F39" s="20">
        <v>294</v>
      </c>
      <c r="G39" s="16">
        <v>11.26834627628107</v>
      </c>
      <c r="J39" s="28"/>
    </row>
    <row r="40" spans="1:10" ht="15">
      <c r="A40">
        <v>67977</v>
      </c>
      <c r="B40">
        <v>68</v>
      </c>
      <c r="C40">
        <v>67</v>
      </c>
      <c r="D40">
        <v>66</v>
      </c>
      <c r="E40" s="20">
        <v>19734858</v>
      </c>
      <c r="F40" s="20">
        <v>290</v>
      </c>
      <c r="G40" s="16">
        <v>10.003383497359401</v>
      </c>
      <c r="J40" s="28"/>
    </row>
    <row r="41" spans="1:10" ht="15">
      <c r="A41">
        <v>298978</v>
      </c>
      <c r="B41">
        <v>301</v>
      </c>
      <c r="C41">
        <v>57</v>
      </c>
      <c r="D41">
        <v>53</v>
      </c>
      <c r="E41" s="20">
        <v>85998352</v>
      </c>
      <c r="F41" s="20">
        <v>288</v>
      </c>
      <c r="G41" s="16">
        <v>10.067630394209607</v>
      </c>
      <c r="J41" s="28"/>
    </row>
    <row r="42" spans="1:10" ht="15">
      <c r="A42">
        <v>25124</v>
      </c>
      <c r="B42">
        <v>26</v>
      </c>
      <c r="C42">
        <v>62</v>
      </c>
      <c r="D42">
        <v>57</v>
      </c>
      <c r="E42" s="20">
        <v>7219402</v>
      </c>
      <c r="F42" s="20">
        <v>287</v>
      </c>
      <c r="G42" s="16">
        <v>10.348670593854482</v>
      </c>
      <c r="J42" s="28"/>
    </row>
    <row r="43" spans="1:10" ht="15">
      <c r="A43">
        <v>28550</v>
      </c>
      <c r="B43">
        <v>32</v>
      </c>
      <c r="C43">
        <v>58</v>
      </c>
      <c r="D43">
        <v>49</v>
      </c>
      <c r="E43" s="20">
        <v>8135789</v>
      </c>
      <c r="F43" s="20">
        <v>285</v>
      </c>
      <c r="G43" s="16">
        <v>11.208406304728546</v>
      </c>
      <c r="J43" s="28"/>
    </row>
    <row r="44" spans="1:10" ht="15">
      <c r="A44">
        <v>9253</v>
      </c>
      <c r="B44">
        <v>13</v>
      </c>
      <c r="C44">
        <v>80</v>
      </c>
      <c r="D44">
        <v>57</v>
      </c>
      <c r="E44" s="20">
        <v>2612270</v>
      </c>
      <c r="F44" s="20">
        <v>282</v>
      </c>
      <c r="G44" s="16">
        <v>14.049497460283151</v>
      </c>
      <c r="J44" s="28"/>
    </row>
    <row r="45" spans="1:10" ht="15">
      <c r="A45">
        <v>34503</v>
      </c>
      <c r="B45">
        <v>32</v>
      </c>
      <c r="C45">
        <v>88</v>
      </c>
      <c r="D45">
        <v>95</v>
      </c>
      <c r="E45" s="20">
        <v>9720853</v>
      </c>
      <c r="F45" s="20">
        <v>282</v>
      </c>
      <c r="G45" s="16">
        <v>9.2745558357244295</v>
      </c>
      <c r="J45" s="31"/>
    </row>
    <row r="46" spans="1:10" ht="15">
      <c r="A46">
        <v>21699</v>
      </c>
      <c r="B46">
        <v>24</v>
      </c>
      <c r="C46">
        <v>46</v>
      </c>
      <c r="D46">
        <v>39</v>
      </c>
      <c r="E46" s="20">
        <v>6084977</v>
      </c>
      <c r="F46" s="20">
        <v>280</v>
      </c>
      <c r="G46" s="16">
        <v>11.060417530761786</v>
      </c>
      <c r="J46" s="28"/>
    </row>
    <row r="47" spans="1:10" ht="15">
      <c r="A47">
        <v>5669</v>
      </c>
      <c r="B47">
        <v>10</v>
      </c>
      <c r="C47">
        <v>268</v>
      </c>
      <c r="D47">
        <v>152</v>
      </c>
      <c r="E47" s="20">
        <v>1582171</v>
      </c>
      <c r="F47" s="20">
        <v>279</v>
      </c>
      <c r="G47" s="16">
        <v>17.639795378373609</v>
      </c>
      <c r="J47" s="29"/>
    </row>
    <row r="48" spans="1:10" ht="15">
      <c r="A48">
        <v>162928</v>
      </c>
      <c r="B48">
        <v>166</v>
      </c>
      <c r="C48">
        <v>51</v>
      </c>
      <c r="D48">
        <v>47</v>
      </c>
      <c r="E48" s="20">
        <v>45251468</v>
      </c>
      <c r="F48" s="20">
        <v>278</v>
      </c>
      <c r="G48" s="16">
        <v>10.188549543356574</v>
      </c>
      <c r="J48" s="29"/>
    </row>
    <row r="49" spans="1:10" ht="15">
      <c r="A49">
        <v>58309</v>
      </c>
      <c r="B49">
        <v>70</v>
      </c>
      <c r="C49">
        <v>52</v>
      </c>
      <c r="D49">
        <v>43</v>
      </c>
      <c r="E49" s="20">
        <v>16070284</v>
      </c>
      <c r="F49" s="20">
        <v>276</v>
      </c>
      <c r="G49" s="16">
        <v>12.005007803255072</v>
      </c>
      <c r="J49" s="29"/>
    </row>
    <row r="50" spans="1:10" ht="15">
      <c r="A50">
        <v>32058</v>
      </c>
      <c r="B50">
        <v>31</v>
      </c>
      <c r="C50">
        <v>129</v>
      </c>
      <c r="D50">
        <v>131</v>
      </c>
      <c r="E50" s="20">
        <v>8558798</v>
      </c>
      <c r="F50" s="20">
        <v>267</v>
      </c>
      <c r="G50" s="16">
        <v>9.6699731736228092</v>
      </c>
      <c r="J50" s="28"/>
    </row>
    <row r="51" spans="1:10" ht="15">
      <c r="A51">
        <v>69305</v>
      </c>
      <c r="B51">
        <v>76</v>
      </c>
      <c r="C51">
        <v>44</v>
      </c>
      <c r="D51">
        <v>38</v>
      </c>
      <c r="E51" s="20">
        <v>18211999</v>
      </c>
      <c r="F51" s="20">
        <v>263</v>
      </c>
      <c r="G51" s="16">
        <v>10.966019767693529</v>
      </c>
      <c r="J51" s="28"/>
    </row>
    <row r="52" spans="1:10" ht="15">
      <c r="A52">
        <v>20926</v>
      </c>
      <c r="B52">
        <v>21</v>
      </c>
      <c r="C52">
        <v>70</v>
      </c>
      <c r="D52">
        <v>70</v>
      </c>
      <c r="E52" s="20">
        <v>5455086</v>
      </c>
      <c r="F52" s="20">
        <v>261</v>
      </c>
      <c r="G52" s="16">
        <v>10.035362706680685</v>
      </c>
      <c r="J52" s="28"/>
    </row>
    <row r="53" spans="1:10" ht="15">
      <c r="A53">
        <v>17499</v>
      </c>
      <c r="B53">
        <v>19</v>
      </c>
      <c r="C53">
        <v>43</v>
      </c>
      <c r="D53">
        <v>42</v>
      </c>
      <c r="E53" s="20">
        <v>4468020</v>
      </c>
      <c r="F53" s="20">
        <v>255</v>
      </c>
      <c r="G53" s="16">
        <v>10.857763300760043</v>
      </c>
      <c r="J53" s="29"/>
    </row>
    <row r="54" spans="1:10" ht="15">
      <c r="A54">
        <v>174307</v>
      </c>
      <c r="B54">
        <v>179</v>
      </c>
      <c r="C54">
        <v>43</v>
      </c>
      <c r="D54">
        <v>40</v>
      </c>
      <c r="E54" s="20">
        <v>42881952</v>
      </c>
      <c r="F54" s="20">
        <v>246</v>
      </c>
      <c r="G54" s="16">
        <v>10.269237609505069</v>
      </c>
      <c r="J54" s="29"/>
    </row>
    <row r="55" spans="1:10" ht="15">
      <c r="A55">
        <v>6188</v>
      </c>
      <c r="B55">
        <v>7</v>
      </c>
      <c r="C55">
        <v>89</v>
      </c>
      <c r="D55">
        <v>79</v>
      </c>
      <c r="E55" s="20">
        <v>1518310</v>
      </c>
      <c r="F55" s="20">
        <v>245</v>
      </c>
      <c r="G55" s="16">
        <v>11.312217194570136</v>
      </c>
      <c r="J55" s="29"/>
    </row>
    <row r="56" spans="1:10" ht="15">
      <c r="A56">
        <v>22151</v>
      </c>
      <c r="B56">
        <v>24</v>
      </c>
      <c r="C56">
        <v>63</v>
      </c>
      <c r="D56">
        <v>58</v>
      </c>
      <c r="E56" s="20">
        <v>5244986</v>
      </c>
      <c r="F56" s="20">
        <v>237</v>
      </c>
      <c r="G56" s="16">
        <v>10.834725294569093</v>
      </c>
      <c r="J56" s="29"/>
    </row>
    <row r="57" spans="1:10" ht="15">
      <c r="A57">
        <v>11440</v>
      </c>
      <c r="B57">
        <v>12</v>
      </c>
      <c r="C57">
        <v>115</v>
      </c>
      <c r="D57">
        <v>101</v>
      </c>
      <c r="E57" s="20">
        <v>2702697</v>
      </c>
      <c r="F57" s="20">
        <v>236</v>
      </c>
      <c r="G57" s="16">
        <v>10.48951048951049</v>
      </c>
      <c r="J57" s="28"/>
    </row>
    <row r="58" spans="1:10" ht="15">
      <c r="A58">
        <v>102285</v>
      </c>
      <c r="B58">
        <v>87</v>
      </c>
      <c r="C58">
        <v>32</v>
      </c>
      <c r="D58">
        <v>37</v>
      </c>
      <c r="E58" s="20">
        <v>22853972</v>
      </c>
      <c r="F58" s="20">
        <v>223</v>
      </c>
      <c r="G58" s="16">
        <v>8.5056459891479683</v>
      </c>
      <c r="J58" s="28"/>
    </row>
    <row r="59" spans="1:10" ht="15">
      <c r="A59">
        <v>14987</v>
      </c>
      <c r="B59">
        <v>18</v>
      </c>
      <c r="C59">
        <v>81</v>
      </c>
      <c r="D59">
        <v>67</v>
      </c>
      <c r="E59" s="20">
        <v>3322947</v>
      </c>
      <c r="F59" s="20">
        <v>222</v>
      </c>
      <c r="G59" s="16">
        <v>12.010409021151665</v>
      </c>
      <c r="J59" s="28"/>
    </row>
    <row r="60" spans="1:10" ht="15">
      <c r="A60">
        <v>14930</v>
      </c>
      <c r="B60">
        <v>21</v>
      </c>
      <c r="C60">
        <v>103</v>
      </c>
      <c r="D60">
        <v>73</v>
      </c>
      <c r="E60" s="20">
        <v>3311084</v>
      </c>
      <c r="F60" s="20">
        <v>222</v>
      </c>
      <c r="G60" s="16">
        <v>14.06563965170797</v>
      </c>
      <c r="J60" s="28"/>
    </row>
    <row r="61" spans="1:10" ht="15">
      <c r="A61">
        <v>40094</v>
      </c>
      <c r="B61">
        <v>36</v>
      </c>
      <c r="C61">
        <v>54</v>
      </c>
      <c r="D61">
        <v>60</v>
      </c>
      <c r="E61" s="20">
        <v>8862602</v>
      </c>
      <c r="F61" s="20">
        <v>221</v>
      </c>
      <c r="G61" s="16">
        <v>8.9788995859729628</v>
      </c>
      <c r="J61" s="28"/>
    </row>
    <row r="62" spans="1:10" ht="15">
      <c r="A62">
        <v>13289</v>
      </c>
      <c r="B62">
        <v>16</v>
      </c>
      <c r="C62">
        <v>39</v>
      </c>
      <c r="D62">
        <v>32</v>
      </c>
      <c r="E62" s="20">
        <v>2911018</v>
      </c>
      <c r="F62" s="20">
        <v>219</v>
      </c>
      <c r="G62" s="16">
        <v>12.040033110091052</v>
      </c>
      <c r="J62" s="28"/>
    </row>
    <row r="63" spans="1:10" ht="15">
      <c r="A63">
        <v>17128</v>
      </c>
      <c r="B63">
        <v>16</v>
      </c>
      <c r="C63">
        <v>68</v>
      </c>
      <c r="D63">
        <v>84</v>
      </c>
      <c r="E63" s="20">
        <v>3360601</v>
      </c>
      <c r="F63" s="20">
        <v>196</v>
      </c>
      <c r="G63" s="16">
        <v>9.3414292386735163</v>
      </c>
      <c r="J63" s="28"/>
    </row>
    <row r="64" spans="1:10" ht="15">
      <c r="A64">
        <v>7009</v>
      </c>
      <c r="B64">
        <v>6</v>
      </c>
      <c r="C64">
        <v>40</v>
      </c>
      <c r="D64">
        <v>46</v>
      </c>
      <c r="E64" s="20">
        <v>1351318</v>
      </c>
      <c r="F64" s="20">
        <v>193</v>
      </c>
      <c r="G64" s="16">
        <v>8.5604223141674982</v>
      </c>
      <c r="J64" s="28"/>
    </row>
    <row r="65" spans="1:10" ht="15">
      <c r="A65">
        <v>5777</v>
      </c>
      <c r="B65">
        <v>6</v>
      </c>
      <c r="C65">
        <v>80</v>
      </c>
      <c r="D65">
        <v>77</v>
      </c>
      <c r="E65" s="20">
        <v>1074837</v>
      </c>
      <c r="F65" s="20">
        <v>186</v>
      </c>
      <c r="G65" s="16">
        <v>10.386013501817553</v>
      </c>
      <c r="J65" s="28"/>
    </row>
    <row r="66" spans="1:10" ht="15">
      <c r="A66">
        <v>5273</v>
      </c>
      <c r="B66">
        <v>6</v>
      </c>
      <c r="C66">
        <v>75</v>
      </c>
      <c r="D66">
        <v>66</v>
      </c>
      <c r="E66" s="20">
        <v>969508</v>
      </c>
      <c r="F66" s="20">
        <v>184</v>
      </c>
      <c r="G66" s="16">
        <v>11.378721790252229</v>
      </c>
      <c r="J66" s="28"/>
    </row>
    <row r="67" spans="1:10" ht="15">
      <c r="A67">
        <v>9895</v>
      </c>
      <c r="B67">
        <v>8</v>
      </c>
      <c r="C67">
        <v>53</v>
      </c>
      <c r="D67">
        <v>66</v>
      </c>
      <c r="E67" s="20">
        <v>1809172</v>
      </c>
      <c r="F67" s="20">
        <v>183</v>
      </c>
      <c r="G67" s="16">
        <v>8.0848913592723601</v>
      </c>
      <c r="J67" s="28"/>
    </row>
    <row r="68" spans="1:10" ht="15">
      <c r="A68">
        <v>13349</v>
      </c>
      <c r="B68">
        <v>12</v>
      </c>
      <c r="C68">
        <v>27</v>
      </c>
      <c r="D68">
        <v>30</v>
      </c>
      <c r="E68" s="20">
        <v>2399698</v>
      </c>
      <c r="F68" s="20">
        <v>180</v>
      </c>
      <c r="G68" s="16">
        <v>8.9894374110420259</v>
      </c>
      <c r="J68" s="28"/>
    </row>
    <row r="69" spans="1:10" ht="15">
      <c r="A69">
        <v>6197</v>
      </c>
      <c r="B69">
        <v>4</v>
      </c>
      <c r="C69">
        <v>36</v>
      </c>
      <c r="D69">
        <v>56</v>
      </c>
      <c r="E69" s="20">
        <v>1084656</v>
      </c>
      <c r="F69" s="20">
        <v>175</v>
      </c>
      <c r="G69" s="16">
        <v>6.4547361626593514</v>
      </c>
      <c r="J69" s="28"/>
    </row>
    <row r="70" spans="1:10" ht="15">
      <c r="A70">
        <v>12616</v>
      </c>
      <c r="B70">
        <v>14</v>
      </c>
      <c r="C70">
        <v>50</v>
      </c>
      <c r="D70">
        <v>47</v>
      </c>
      <c r="E70" s="20">
        <v>2178355</v>
      </c>
      <c r="F70" s="20">
        <v>173</v>
      </c>
      <c r="G70" s="16">
        <v>11.097019657577679</v>
      </c>
      <c r="J70" s="28"/>
    </row>
    <row r="71" spans="1:10" ht="15">
      <c r="A71">
        <v>9011</v>
      </c>
      <c r="B71">
        <v>8</v>
      </c>
      <c r="C71">
        <v>34</v>
      </c>
      <c r="D71">
        <v>39</v>
      </c>
      <c r="E71" s="20">
        <v>1431090</v>
      </c>
      <c r="F71" s="20">
        <v>159</v>
      </c>
      <c r="G71" s="16">
        <v>8.8780379536122513</v>
      </c>
      <c r="J71" s="28"/>
    </row>
    <row r="72" spans="1:10" ht="15">
      <c r="A72">
        <v>5778</v>
      </c>
      <c r="B72">
        <v>4</v>
      </c>
      <c r="C72">
        <v>46</v>
      </c>
      <c r="D72">
        <v>66</v>
      </c>
      <c r="E72" s="20">
        <v>906529</v>
      </c>
      <c r="F72" s="20">
        <v>157</v>
      </c>
      <c r="G72" s="16">
        <v>6.9228106611284179</v>
      </c>
      <c r="J72" s="28"/>
    </row>
    <row r="73" spans="1:10" ht="15">
      <c r="A73">
        <v>8100</v>
      </c>
      <c r="B73">
        <v>6</v>
      </c>
      <c r="C73">
        <v>50</v>
      </c>
      <c r="D73">
        <v>62</v>
      </c>
      <c r="E73" s="20">
        <v>1222293</v>
      </c>
      <c r="F73" s="20">
        <v>151</v>
      </c>
      <c r="G73" s="16">
        <v>7.4074074074074074</v>
      </c>
      <c r="J73" s="28"/>
    </row>
    <row r="74" spans="1:10" ht="15">
      <c r="A74">
        <v>9360</v>
      </c>
      <c r="B74">
        <v>8</v>
      </c>
      <c r="C74">
        <v>36</v>
      </c>
      <c r="D74">
        <v>43</v>
      </c>
      <c r="E74" s="20">
        <v>1361236</v>
      </c>
      <c r="F74" s="20">
        <v>145</v>
      </c>
      <c r="G74" s="16">
        <v>8.5470085470085468</v>
      </c>
      <c r="J74" s="32"/>
    </row>
    <row r="75" spans="1:10" ht="15">
      <c r="A75">
        <v>15969</v>
      </c>
      <c r="B75">
        <v>12</v>
      </c>
      <c r="C75">
        <v>35</v>
      </c>
      <c r="D75">
        <v>48</v>
      </c>
      <c r="E75" s="20">
        <v>2188037</v>
      </c>
      <c r="F75" s="20">
        <v>137</v>
      </c>
      <c r="G75" s="16">
        <v>7.5145594589517186</v>
      </c>
      <c r="J75" s="32"/>
    </row>
    <row r="76" spans="1:10" ht="15">
      <c r="A76">
        <v>11548</v>
      </c>
      <c r="B76">
        <v>7</v>
      </c>
      <c r="C76">
        <v>29</v>
      </c>
      <c r="D76">
        <v>47</v>
      </c>
      <c r="E76" s="20">
        <v>1546560</v>
      </c>
      <c r="F76" s="20">
        <v>134</v>
      </c>
      <c r="G76" s="16">
        <v>6.0616556979563558</v>
      </c>
      <c r="J76" s="32"/>
    </row>
    <row r="77" spans="1:10" ht="15">
      <c r="A77">
        <v>12492</v>
      </c>
      <c r="B77">
        <v>9</v>
      </c>
      <c r="C77">
        <v>51</v>
      </c>
      <c r="D77">
        <v>70</v>
      </c>
      <c r="E77" s="20">
        <v>1645468</v>
      </c>
      <c r="F77" s="20">
        <v>132</v>
      </c>
      <c r="G77" s="16">
        <v>7.2046109510086458</v>
      </c>
      <c r="J77" s="32"/>
    </row>
    <row r="78" spans="1:10" ht="15">
      <c r="A78">
        <v>5786</v>
      </c>
      <c r="B78">
        <v>4</v>
      </c>
      <c r="C78">
        <v>35</v>
      </c>
      <c r="D78">
        <v>51</v>
      </c>
      <c r="E78" s="20">
        <v>743412</v>
      </c>
      <c r="F78" s="20">
        <v>128</v>
      </c>
      <c r="G78" s="16">
        <v>6.9132388524023503</v>
      </c>
      <c r="J78" s="28"/>
    </row>
    <row r="79" spans="1:10" ht="15">
      <c r="A79">
        <v>5332</v>
      </c>
      <c r="B79">
        <v>5</v>
      </c>
      <c r="C79">
        <v>26</v>
      </c>
      <c r="D79">
        <v>28</v>
      </c>
      <c r="E79" s="20">
        <v>666924</v>
      </c>
      <c r="F79" s="20">
        <v>125</v>
      </c>
      <c r="G79" s="16">
        <v>9.3773443360840218</v>
      </c>
      <c r="J79" s="28"/>
    </row>
    <row r="80" spans="1:10" ht="15">
      <c r="J80" s="28"/>
    </row>
    <row r="81" spans="10:10" ht="15">
      <c r="J81" s="28"/>
    </row>
    <row r="82" spans="10:10" ht="15">
      <c r="J82" s="28"/>
    </row>
    <row r="83" spans="10:10" ht="15">
      <c r="J83" s="28"/>
    </row>
    <row r="84" spans="10:10" ht="15">
      <c r="J84" s="28"/>
    </row>
    <row r="85" spans="10:10" ht="15">
      <c r="J85" s="28"/>
    </row>
    <row r="86" spans="10:10" ht="15">
      <c r="J86" s="28"/>
    </row>
    <row r="87" spans="10:10" ht="15">
      <c r="J87" s="28"/>
    </row>
    <row r="88" spans="10:10" ht="15">
      <c r="J88" s="28"/>
    </row>
    <row r="89" spans="10:10" ht="15">
      <c r="J89" s="28"/>
    </row>
    <row r="90" spans="10:10" ht="15">
      <c r="J90" s="28"/>
    </row>
    <row r="91" spans="10:10" ht="15">
      <c r="J91" s="28"/>
    </row>
    <row r="92" spans="10:10" ht="15">
      <c r="J92" s="28"/>
    </row>
    <row r="93" spans="10:10" ht="15">
      <c r="J93" s="28"/>
    </row>
    <row r="94" spans="10:10" ht="15">
      <c r="J94" s="28"/>
    </row>
    <row r="95" spans="10:10" ht="15">
      <c r="J95" s="32"/>
    </row>
    <row r="96" spans="10:10" ht="15">
      <c r="J96" s="28"/>
    </row>
    <row r="97" spans="10:10" ht="15">
      <c r="J97" s="28"/>
    </row>
    <row r="98" spans="10:10">
      <c r="J98" s="27"/>
    </row>
    <row r="99" spans="10:10">
      <c r="J99" s="27"/>
    </row>
    <row r="101" spans="10:10" ht="15">
      <c r="J101" s="28"/>
    </row>
    <row r="102" spans="10:10" ht="15">
      <c r="J102" s="28"/>
    </row>
    <row r="103" spans="10:10" ht="15">
      <c r="J103" s="28"/>
    </row>
    <row r="104" spans="10:10" ht="15">
      <c r="J104" s="28"/>
    </row>
    <row r="105" spans="10:10" ht="15">
      <c r="J105" s="29"/>
    </row>
    <row r="106" spans="10:10" ht="15">
      <c r="J106" s="29"/>
    </row>
    <row r="107" spans="10:10" ht="15">
      <c r="J107" s="29"/>
    </row>
    <row r="108" spans="10:10" ht="15">
      <c r="J108" s="29"/>
    </row>
    <row r="109" spans="10:10" ht="15">
      <c r="J109" s="2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6657-64F0-4A80-845E-D15AD6AC9641}">
  <dimension ref="B4:D48"/>
  <sheetViews>
    <sheetView zoomScale="85" zoomScaleNormal="85" workbookViewId="0">
      <selection activeCell="U19" sqref="U19"/>
    </sheetView>
  </sheetViews>
  <sheetFormatPr defaultRowHeight="12.75"/>
  <cols>
    <col min="2" max="2" width="21.5703125" customWidth="1"/>
  </cols>
  <sheetData>
    <row r="4" spans="2:3">
      <c r="B4" t="s">
        <v>99</v>
      </c>
      <c r="C4" t="s">
        <v>108</v>
      </c>
    </row>
    <row r="5" spans="2:3">
      <c r="B5" s="13" t="s">
        <v>176</v>
      </c>
      <c r="C5" s="22">
        <v>632</v>
      </c>
    </row>
    <row r="6" spans="2:3">
      <c r="B6" t="s">
        <v>177</v>
      </c>
      <c r="C6" s="20">
        <v>610</v>
      </c>
    </row>
    <row r="7" spans="2:3">
      <c r="B7" t="s">
        <v>7</v>
      </c>
      <c r="C7" s="20">
        <v>606</v>
      </c>
    </row>
    <row r="8" spans="2:3">
      <c r="B8" t="s">
        <v>178</v>
      </c>
      <c r="C8" s="20">
        <v>523</v>
      </c>
    </row>
    <row r="9" spans="2:3">
      <c r="B9" t="s">
        <v>88</v>
      </c>
      <c r="C9" s="20">
        <v>520</v>
      </c>
    </row>
    <row r="10" spans="2:3">
      <c r="B10" t="s">
        <v>175</v>
      </c>
      <c r="C10" s="20">
        <v>518</v>
      </c>
    </row>
    <row r="11" spans="2:3">
      <c r="B11" t="s">
        <v>174</v>
      </c>
      <c r="C11" s="20">
        <v>497</v>
      </c>
    </row>
    <row r="12" spans="2:3">
      <c r="B12" t="s">
        <v>94</v>
      </c>
      <c r="C12" s="20">
        <v>483</v>
      </c>
    </row>
    <row r="13" spans="2:3">
      <c r="B13" t="s">
        <v>179</v>
      </c>
      <c r="C13" s="20">
        <v>453</v>
      </c>
    </row>
    <row r="14" spans="2:3">
      <c r="B14" t="s">
        <v>180</v>
      </c>
      <c r="C14" s="20">
        <v>451</v>
      </c>
    </row>
    <row r="16" spans="2:3">
      <c r="C16" s="20"/>
    </row>
    <row r="17" spans="2:4">
      <c r="C17" s="20"/>
    </row>
    <row r="18" spans="2:4">
      <c r="C18" s="20"/>
    </row>
    <row r="19" spans="2:4">
      <c r="B19" t="s">
        <v>181</v>
      </c>
      <c r="C19" s="17">
        <v>0</v>
      </c>
      <c r="D19" s="23">
        <v>314.77</v>
      </c>
    </row>
    <row r="20" spans="2:4">
      <c r="C20" s="24">
        <v>1</v>
      </c>
      <c r="D20" s="23">
        <v>314.77</v>
      </c>
    </row>
    <row r="21" spans="2:4">
      <c r="C21" s="20"/>
    </row>
    <row r="22" spans="2:4">
      <c r="C22" s="20"/>
    </row>
    <row r="23" spans="2:4">
      <c r="C23" s="20"/>
    </row>
    <row r="24" spans="2:4">
      <c r="C24" s="20"/>
    </row>
    <row r="25" spans="2:4">
      <c r="C25" s="20"/>
    </row>
    <row r="26" spans="2:4">
      <c r="C26" s="20"/>
    </row>
    <row r="27" spans="2:4">
      <c r="C27" s="20"/>
    </row>
    <row r="28" spans="2:4">
      <c r="C28" s="20"/>
    </row>
    <row r="29" spans="2:4">
      <c r="C29" s="20"/>
    </row>
    <row r="30" spans="2:4">
      <c r="C30" s="20"/>
    </row>
    <row r="31" spans="2:4">
      <c r="C31" s="20"/>
    </row>
    <row r="32" spans="2:4">
      <c r="C32" s="20"/>
    </row>
    <row r="33" spans="2:3">
      <c r="C33" s="20"/>
    </row>
    <row r="34" spans="2:3">
      <c r="C34" s="20"/>
    </row>
    <row r="35" spans="2:3">
      <c r="C35" s="20"/>
    </row>
    <row r="36" spans="2:3">
      <c r="C36" s="20"/>
    </row>
    <row r="37" spans="2:3">
      <c r="C37" s="20"/>
    </row>
    <row r="38" spans="2:3">
      <c r="C38" s="20"/>
    </row>
    <row r="39" spans="2:3">
      <c r="C39" s="20"/>
    </row>
    <row r="40" spans="2:3">
      <c r="C40" s="20"/>
    </row>
    <row r="41" spans="2:3">
      <c r="C41" s="20"/>
    </row>
    <row r="42" spans="2:3">
      <c r="C42" s="20"/>
    </row>
    <row r="43" spans="2:3">
      <c r="C43" s="20"/>
    </row>
    <row r="44" spans="2:3">
      <c r="B44" s="13"/>
      <c r="C44" s="22"/>
    </row>
    <row r="45" spans="2:3">
      <c r="C45" s="20"/>
    </row>
    <row r="46" spans="2:3">
      <c r="C46" s="20"/>
    </row>
    <row r="47" spans="2:3">
      <c r="C47" s="20"/>
    </row>
    <row r="48" spans="2:3">
      <c r="C48" s="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4462-55F6-4528-B1D5-D0C502514190}">
  <dimension ref="A1"/>
  <sheetViews>
    <sheetView topLeftCell="A4" workbookViewId="0">
      <selection activeCell="N10" sqref="N10"/>
    </sheetView>
  </sheetViews>
  <sheetFormatPr defaultRowHeight="12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5477-5B1D-4D4E-BACD-740B3309C0E8}">
  <dimension ref="A1"/>
  <sheetViews>
    <sheetView topLeftCell="A34" zoomScale="85" zoomScaleNormal="85" workbookViewId="0">
      <selection activeCell="L37" sqref="L37"/>
    </sheetView>
  </sheetViews>
  <sheetFormatPr defaultRowHeight="12.7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3B35-9250-4D98-9889-A7F8D5EB5A69}">
  <dimension ref="A2:P45"/>
  <sheetViews>
    <sheetView workbookViewId="0">
      <selection activeCell="J22" sqref="J22"/>
    </sheetView>
  </sheetViews>
  <sheetFormatPr defaultRowHeight="12.75"/>
  <sheetData>
    <row r="2" spans="1:16">
      <c r="A2">
        <v>180</v>
      </c>
      <c r="K2" s="7" t="s">
        <v>150</v>
      </c>
      <c r="P2" t="s">
        <v>168</v>
      </c>
    </row>
    <row r="3" spans="1:16">
      <c r="A3">
        <v>169</v>
      </c>
      <c r="G3" t="s">
        <v>147</v>
      </c>
      <c r="K3" s="7" t="s">
        <v>151</v>
      </c>
      <c r="P3" t="s">
        <v>163</v>
      </c>
    </row>
    <row r="4" spans="1:16">
      <c r="A4">
        <v>165</v>
      </c>
      <c r="G4" s="21">
        <f>(632/314.77)-1</f>
        <v>1.0078152301680592</v>
      </c>
      <c r="K4" s="7" t="s">
        <v>152</v>
      </c>
      <c r="P4" t="s">
        <v>164</v>
      </c>
    </row>
    <row r="5" spans="1:16">
      <c r="A5">
        <v>148</v>
      </c>
      <c r="K5" s="7" t="s">
        <v>153</v>
      </c>
      <c r="P5" t="s">
        <v>165</v>
      </c>
    </row>
    <row r="6" spans="1:16">
      <c r="A6">
        <v>129</v>
      </c>
      <c r="C6">
        <f>_xlfn.PERCENTRANK.INC(BC!H2:H79,41)</f>
        <v>0.22</v>
      </c>
      <c r="E6">
        <f>_xlfn.PERCENTRANK.INC(BC!G2:G79,87)</f>
        <v>0.623</v>
      </c>
      <c r="F6">
        <f>_xlfn.PERCENTRANK.INC(A2:A45,87)</f>
        <v>0.65100000000000002</v>
      </c>
      <c r="P6" t="s">
        <v>166</v>
      </c>
    </row>
    <row r="7" spans="1:16">
      <c r="A7">
        <v>127</v>
      </c>
      <c r="P7" t="s">
        <v>167</v>
      </c>
    </row>
    <row r="8" spans="1:16">
      <c r="A8">
        <v>123</v>
      </c>
      <c r="C8" s="7" t="s">
        <v>159</v>
      </c>
    </row>
    <row r="9" spans="1:16">
      <c r="A9">
        <v>117</v>
      </c>
      <c r="C9" t="s">
        <v>144</v>
      </c>
    </row>
    <row r="10" spans="1:16">
      <c r="A10">
        <v>116</v>
      </c>
      <c r="C10" t="s">
        <v>148</v>
      </c>
    </row>
    <row r="11" spans="1:16">
      <c r="A11">
        <v>111</v>
      </c>
      <c r="C11" t="s">
        <v>145</v>
      </c>
    </row>
    <row r="12" spans="1:16">
      <c r="A12">
        <v>104</v>
      </c>
      <c r="C12" t="s">
        <v>146</v>
      </c>
    </row>
    <row r="13" spans="1:16">
      <c r="A13">
        <v>103</v>
      </c>
      <c r="C13" s="7" t="s">
        <v>157</v>
      </c>
    </row>
    <row r="14" spans="1:16">
      <c r="A14">
        <v>101</v>
      </c>
      <c r="P14" t="s">
        <v>169</v>
      </c>
    </row>
    <row r="15" spans="1:16">
      <c r="A15">
        <v>97</v>
      </c>
      <c r="C15" s="7" t="s">
        <v>158</v>
      </c>
      <c r="P15" t="s">
        <v>170</v>
      </c>
    </row>
    <row r="16" spans="1:16">
      <c r="A16">
        <v>88</v>
      </c>
      <c r="C16" s="7" t="s">
        <v>160</v>
      </c>
      <c r="P16" t="s">
        <v>171</v>
      </c>
    </row>
    <row r="17" spans="1:16">
      <c r="A17">
        <v>87</v>
      </c>
      <c r="C17" s="7" t="s">
        <v>161</v>
      </c>
      <c r="P17" t="s">
        <v>172</v>
      </c>
    </row>
    <row r="18" spans="1:16">
      <c r="A18">
        <v>70</v>
      </c>
      <c r="C18" s="7" t="s">
        <v>162</v>
      </c>
      <c r="P18" t="s">
        <v>173</v>
      </c>
    </row>
    <row r="19" spans="1:16">
      <c r="A19">
        <v>68</v>
      </c>
    </row>
    <row r="20" spans="1:16">
      <c r="A20">
        <v>67</v>
      </c>
    </row>
    <row r="21" spans="1:16">
      <c r="A21">
        <v>65</v>
      </c>
    </row>
    <row r="22" spans="1:16">
      <c r="A22">
        <v>64</v>
      </c>
    </row>
    <row r="23" spans="1:16">
      <c r="A23">
        <v>63</v>
      </c>
    </row>
    <row r="24" spans="1:16">
      <c r="A24">
        <v>62</v>
      </c>
    </row>
    <row r="25" spans="1:16">
      <c r="A25">
        <v>61</v>
      </c>
    </row>
    <row r="26" spans="1:16">
      <c r="A26">
        <v>60</v>
      </c>
    </row>
    <row r="27" spans="1:16">
      <c r="A27">
        <v>58</v>
      </c>
    </row>
    <row r="28" spans="1:16">
      <c r="A28">
        <v>57</v>
      </c>
    </row>
    <row r="29" spans="1:16">
      <c r="A29">
        <v>57</v>
      </c>
    </row>
    <row r="30" spans="1:16">
      <c r="A30">
        <v>55</v>
      </c>
    </row>
    <row r="31" spans="1:16">
      <c r="A31">
        <v>54</v>
      </c>
    </row>
    <row r="32" spans="1:16">
      <c r="A32">
        <v>52</v>
      </c>
    </row>
    <row r="33" spans="1:1">
      <c r="A33">
        <v>51</v>
      </c>
    </row>
    <row r="34" spans="1:1">
      <c r="A34">
        <v>47</v>
      </c>
    </row>
    <row r="35" spans="1:1">
      <c r="A35">
        <v>46</v>
      </c>
    </row>
    <row r="36" spans="1:1">
      <c r="A36">
        <v>44</v>
      </c>
    </row>
    <row r="37" spans="1:1">
      <c r="A37">
        <v>43</v>
      </c>
    </row>
    <row r="38" spans="1:1">
      <c r="A38">
        <v>43</v>
      </c>
    </row>
    <row r="39" spans="1:1">
      <c r="A39">
        <v>35</v>
      </c>
    </row>
    <row r="40" spans="1:1">
      <c r="A40">
        <v>34</v>
      </c>
    </row>
    <row r="41" spans="1:1">
      <c r="A41">
        <v>32</v>
      </c>
    </row>
    <row r="42" spans="1:1">
      <c r="A42">
        <v>30</v>
      </c>
    </row>
    <row r="43" spans="1:1">
      <c r="A43">
        <v>29</v>
      </c>
    </row>
    <row r="44" spans="1:1">
      <c r="A44">
        <v>26</v>
      </c>
    </row>
    <row r="45" spans="1:1">
      <c r="A45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68c33f-25ed-4706-a1f6-1d195e009c62}" enabled="1" method="Privileged" siteId="{b2971285-eb8c-4ba5-970f-d5d2748ef1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Budgets</vt:lpstr>
      <vt:lpstr>BC</vt:lpstr>
      <vt:lpstr>Corr</vt:lpstr>
      <vt:lpstr>V1</vt:lpstr>
      <vt:lpstr>V2</vt:lpstr>
      <vt:lpstr>V3</vt:lpstr>
      <vt:lpstr>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White</cp:lastModifiedBy>
  <dcterms:modified xsi:type="dcterms:W3CDTF">2026-09-08T19:07:42Z</dcterms:modified>
</cp:coreProperties>
</file>