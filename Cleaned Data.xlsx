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stpeoples-my.sharepoint.com/personal/zwhite_fpcc_ca/Documents/Desktop/Reports/"/>
    </mc:Choice>
  </mc:AlternateContent>
  <xr:revisionPtr revIDLastSave="387" documentId="13_ncr:101_{69260775-2460-4B5B-94D1-B940607589DB}" xr6:coauthVersionLast="47" xr6:coauthVersionMax="47" xr10:uidLastSave="{704E6EC2-122D-417A-9774-03EE39E5A20C}"/>
  <bookViews>
    <workbookView xWindow="768" yWindow="768" windowWidth="17280" windowHeight="8928" activeTab="1" xr2:uid="{00000000-000D-0000-FFFF-FFFF00000000}"/>
  </bookViews>
  <sheets>
    <sheet name="Budgets" sheetId="1" r:id="rId1"/>
    <sheet name="BC" sheetId="4" r:id="rId2"/>
  </sheets>
  <definedNames>
    <definedName name="_xlnm._FilterDatabase" localSheetId="1" hidden="1">BC!$A$1:$J$79</definedName>
    <definedName name="_xlnm._FilterDatabase" localSheetId="0" hidden="1">Budgets!$A$1:$K$31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</calcChain>
</file>

<file path=xl/sharedStrings.xml><?xml version="1.0" encoding="utf-8"?>
<sst xmlns="http://schemas.openxmlformats.org/spreadsheetml/2006/main" count="145" uniqueCount="140">
  <si>
    <t>Population (2021 c)</t>
  </si>
  <si>
    <t>Total Operating Expenses Budget 2025</t>
  </si>
  <si>
    <t>Victoria</t>
  </si>
  <si>
    <t>https://www.victoria.ca/media/file/2026-2030-financial-plan</t>
  </si>
  <si>
    <t>Vancouver</t>
  </si>
  <si>
    <t>https://vancouver.ca/files/cov/2026-budget.pdf</t>
  </si>
  <si>
    <t>Calgary</t>
  </si>
  <si>
    <t>https://www.calgary.ca/our-finances/2026-budget.html#resources</t>
  </si>
  <si>
    <t>Edmonton</t>
  </si>
  <si>
    <t>https://www.edmonton.ca/sites/default/files/public-files/documents/2026-approved-operating-budget-april.pdf</t>
  </si>
  <si>
    <t>Regina</t>
  </si>
  <si>
    <t>https://reginafiles.blob.core.windows.net/media/budgets/Budget%20Book%202026.pdf</t>
  </si>
  <si>
    <t>Winnipeg</t>
  </si>
  <si>
    <t>https://www.winnipeg.ca/media/6207</t>
  </si>
  <si>
    <t>Toronto</t>
  </si>
  <si>
    <t>https://www.toronto.ca/wp-content/uploads/2026/05/8f04-2026-City-of-Toronto-Budget-Summary.pdf</t>
  </si>
  <si>
    <t>Ottawa</t>
  </si>
  <si>
    <t>https://open.ottawa.ca/pages/budget-explorer#1</t>
  </si>
  <si>
    <t>Quebec</t>
  </si>
  <si>
    <t>https://www.ville.quebec.qc.ca/apropos/profil-financier/docs/budget2026-Detaille.pdf</t>
  </si>
  <si>
    <t>Montreal</t>
  </si>
  <si>
    <t>https://mtl.ged.montreal.ca/constellio/?collection=mtlca&amp;portal=REPDOCVDM#!displayDocument/00000133583</t>
  </si>
  <si>
    <t>Halifax</t>
  </si>
  <si>
    <t>https://cdn.halifax.ca/sites/default/files/documents/city-hall/budget-finances/2026-27-budget-and-business-plan_web_final_0.pdf</t>
  </si>
  <si>
    <t>Central Saanich</t>
  </si>
  <si>
    <t>https://www.centralsaanich.ca/sites/default/files/2026-03/2026%20Central%20Saanich%20Financial%20Plan%20DRAFT.pdf</t>
  </si>
  <si>
    <t>Sidney</t>
  </si>
  <si>
    <t>https://www.sidney.ca/wp-content/uploads/2024-Public-Binder-Final.pdf</t>
  </si>
  <si>
    <t>North Saanich</t>
  </si>
  <si>
    <t>blurry</t>
  </si>
  <si>
    <t>https://northsaanich.ca/wp-content/uploads/2026-2030-Financial-Plan.pdf</t>
  </si>
  <si>
    <t>Saanich</t>
  </si>
  <si>
    <t>https://www.saanich.ca/assets/Local~Government/Documents/2026%20Adopted%20Financial%20Plan.pdf</t>
  </si>
  <si>
    <t>Capital</t>
  </si>
  <si>
    <t>CRD</t>
  </si>
  <si>
    <t>&gt;1M pop</t>
  </si>
  <si>
    <t>St. John's</t>
  </si>
  <si>
    <t>Fredericton</t>
  </si>
  <si>
    <t>+-5K pop</t>
  </si>
  <si>
    <t>Niagara Falls</t>
  </si>
  <si>
    <t>Cape Breton</t>
  </si>
  <si>
    <t>Chilliwack</t>
  </si>
  <si>
    <t>Brossard</t>
  </si>
  <si>
    <t>Maple Ridge</t>
  </si>
  <si>
    <t>North Vancouver</t>
  </si>
  <si>
    <t>Newmarket</t>
  </si>
  <si>
    <t>wont tell me</t>
  </si>
  <si>
    <t>https://cbrm.ns.ca/wp-content/uploads/2026/06/CBRM-2026-27-Budget.pdf</t>
  </si>
  <si>
    <t>https://www.chilliwack.com/main/attachments/Files/2101/2026%5F-%5F2035%5FOperating%5FPlan.pdf</t>
  </si>
  <si>
    <t>Info not available for 2025, using 2026 total budget</t>
  </si>
  <si>
    <t>Budget not published</t>
  </si>
  <si>
    <t>Info only available for 2025. Protective services umbrella</t>
  </si>
  <si>
    <t>https://www.cnv.org/City-Hall/Finances/financial-plan</t>
  </si>
  <si>
    <t>Burnaby</t>
  </si>
  <si>
    <t>CampbellRiver</t>
  </si>
  <si>
    <t>Colwood</t>
  </si>
  <si>
    <t>Coquitlam</t>
  </si>
  <si>
    <t>Courtenay</t>
  </si>
  <si>
    <t>Cranbrook</t>
  </si>
  <si>
    <t>FortSt.John</t>
  </si>
  <si>
    <t>Kamloops</t>
  </si>
  <si>
    <t>Armstrong</t>
  </si>
  <si>
    <t>Castlegar</t>
  </si>
  <si>
    <t>Coldstream</t>
  </si>
  <si>
    <t>Comox</t>
  </si>
  <si>
    <t>Creston</t>
  </si>
  <si>
    <t>DawsonCreek</t>
  </si>
  <si>
    <t>Duncan58</t>
  </si>
  <si>
    <t>Fernie</t>
  </si>
  <si>
    <t>Hope10</t>
  </si>
  <si>
    <t>Kent10</t>
  </si>
  <si>
    <t>Kimberley</t>
  </si>
  <si>
    <t>Kitimat</t>
  </si>
  <si>
    <t>Ladysmith</t>
  </si>
  <si>
    <t>Merritt</t>
  </si>
  <si>
    <t>Metchosin58</t>
  </si>
  <si>
    <t>NorthSaanich</t>
  </si>
  <si>
    <t>Oliver58</t>
  </si>
  <si>
    <t>Osoyoos</t>
  </si>
  <si>
    <t>Parksville</t>
  </si>
  <si>
    <t>Peachland</t>
  </si>
  <si>
    <t>PowellRiver</t>
  </si>
  <si>
    <t>QualicumBeach</t>
  </si>
  <si>
    <t>Quesnel</t>
  </si>
  <si>
    <t>Revelstoke</t>
  </si>
  <si>
    <t>Sechelt</t>
  </si>
  <si>
    <t>Smithers</t>
  </si>
  <si>
    <t>Spallumcheen</t>
  </si>
  <si>
    <t>Summerland</t>
  </si>
  <si>
    <t>Terrace</t>
  </si>
  <si>
    <t>Trail</t>
  </si>
  <si>
    <t>ViewRoyal</t>
  </si>
  <si>
    <t>Whistler10,12</t>
  </si>
  <si>
    <t>WilliamsLake</t>
  </si>
  <si>
    <t>Municipality</t>
  </si>
  <si>
    <t>Population</t>
  </si>
  <si>
    <t>Authorized Strength</t>
  </si>
  <si>
    <t>Adj. Str</t>
  </si>
  <si>
    <t>Pop/Officer</t>
  </si>
  <si>
    <t>CCC Offences</t>
  </si>
  <si>
    <t>Crime Rate</t>
  </si>
  <si>
    <t>Case Load</t>
  </si>
  <si>
    <t>Total Costs</t>
  </si>
  <si>
    <t>Cost per capita</t>
  </si>
  <si>
    <t>Kelowna</t>
  </si>
  <si>
    <t>LakeCountry58</t>
  </si>
  <si>
    <t>Langford</t>
  </si>
  <si>
    <t>LangleyCity10,13</t>
  </si>
  <si>
    <t>LangleyTownship10,13</t>
  </si>
  <si>
    <t>MapleRidge10,13</t>
  </si>
  <si>
    <t>Mission10</t>
  </si>
  <si>
    <t>Nanaimo13</t>
  </si>
  <si>
    <t>NorthCowichan</t>
  </si>
  <si>
    <t>NorthVancouverCity10,14</t>
  </si>
  <si>
    <t>NorthVancouverDistrict10,14</t>
  </si>
  <si>
    <t>Penticton</t>
  </si>
  <si>
    <t>PittMeadows10,13,15</t>
  </si>
  <si>
    <t>PortAlberni</t>
  </si>
  <si>
    <t>PortCoquitlam10,13</t>
  </si>
  <si>
    <t>PrinceGeorge</t>
  </si>
  <si>
    <t>Richmond10,16</t>
  </si>
  <si>
    <t>SalmonArm</t>
  </si>
  <si>
    <t>Sooke58</t>
  </si>
  <si>
    <t>Squamish10,13</t>
  </si>
  <si>
    <t>Vernon</t>
  </si>
  <si>
    <t>WestKelowna</t>
  </si>
  <si>
    <t>WhiteRock10</t>
  </si>
  <si>
    <t>Abbotsford10,13</t>
  </si>
  <si>
    <t>CentralSaanich</t>
  </si>
  <si>
    <t>Delta10,13,20</t>
  </si>
  <si>
    <t>NelsonCity</t>
  </si>
  <si>
    <t>NewWestminster10</t>
  </si>
  <si>
    <t>OakBay</t>
  </si>
  <si>
    <t>PortMoody10</t>
  </si>
  <si>
    <t>WestVancouver10,13</t>
  </si>
  <si>
    <t>Prince Rupert</t>
  </si>
  <si>
    <t>Charlottetown</t>
  </si>
  <si>
    <t>https://pub-fredericton.escribemeetings.com/filestream.ashx?DocumentId=22556</t>
  </si>
  <si>
    <t>https://www.charlottetownhall.ca/50037/widgets/211444/documents/158871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</si>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</sst>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1" fillId="2" borderId="0" xfId="0" applyNumberFormat="1" applyFont="1" applyFill="1"/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3" fontId="4" fillId="0" borderId="0" xfId="0" applyNumberFormat="1" applyFont="1"/>
    <xf numFmtId="0" fontId="0" fillId="3" borderId="0" xfId="0" applyFill="1"/>
    <xf numFmtId="3" fontId="0" fillId="3" borderId="0" xfId="0" applyNumberFormat="1" applyFill="1"/>
    <xf numFmtId="3" fontId="3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2" fontId="0" fillId="0" borderId="0" xfId="0" applyNumberFormat="1"/>
    <xf numFmtId="44" fontId="8" fillId="0" borderId="0" xfId="1" applyFont="1" applyFill="1"/>
    <xf numFmtId="8" fontId="0" fillId="0" borderId="0" xfId="0" applyNumberFormat="1"/>
    <xf numFmtId="44" fontId="0" fillId="0" borderId="0" xfId="1" applyFont="1" applyFill="1"/>
    <xf numFmtId="0" fontId="5" fillId="0" borderId="0" xfId="0" quotePrefix="1" applyFont="1"/>
    <xf numFmtId="3" fontId="6" fillId="0" borderId="0" xfId="0" applyNumberFormat="1" applyFont="1"/>
    <xf numFmtId="1" fontId="1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ottawa.ca/pages/budget-explorer" TargetMode="External"/><Relationship Id="rId13" Type="http://schemas.openxmlformats.org/officeDocument/2006/relationships/hyperlink" Target="https://www.sidney.ca/wp-content/uploads/2024-Public-Binder-Final.pdf" TargetMode="External"/><Relationship Id="rId3" Type="http://schemas.openxmlformats.org/officeDocument/2006/relationships/hyperlink" Target="https://www.calgary.ca/our-finances/2026-budget.html" TargetMode="External"/><Relationship Id="rId7" Type="http://schemas.openxmlformats.org/officeDocument/2006/relationships/hyperlink" Target="https://www.toronto.ca/wp-content/uploads/2026/05/8f04-2026-City-of-Toronto-Budget-Summary.pdf" TargetMode="External"/><Relationship Id="rId12" Type="http://schemas.openxmlformats.org/officeDocument/2006/relationships/hyperlink" Target="https://www.centralsaanich.ca/sites/default/files/2026-03/2026%20Central%20Saanich%20Financial%20Plan%20DRAFT.pdf" TargetMode="External"/><Relationship Id="rId2" Type="http://schemas.openxmlformats.org/officeDocument/2006/relationships/hyperlink" Target="https://vancouver.ca/files/cov/2026-budget.pdf" TargetMode="External"/><Relationship Id="rId1" Type="http://schemas.openxmlformats.org/officeDocument/2006/relationships/hyperlink" Target="https://www.victoria.ca/media/file/2026-2030-financial-plan" TargetMode="External"/><Relationship Id="rId6" Type="http://schemas.openxmlformats.org/officeDocument/2006/relationships/hyperlink" Target="https://www.winnipeg.ca/media/6207" TargetMode="External"/><Relationship Id="rId11" Type="http://schemas.openxmlformats.org/officeDocument/2006/relationships/hyperlink" Target="https://cdn.halifax.ca/sites/default/files/documents/city-hall/budget-finances/2026-27-budget-and-business-plan_web_final_0.pdf" TargetMode="External"/><Relationship Id="rId5" Type="http://schemas.openxmlformats.org/officeDocument/2006/relationships/hyperlink" Target="https://reginafiles.blob.core.windows.net/media/budgets/Budget%20Book%202026.pdf" TargetMode="External"/><Relationship Id="rId15" Type="http://schemas.openxmlformats.org/officeDocument/2006/relationships/hyperlink" Target="https://www.saanich.ca/assets/Local~Government/Documents/2026%20Adopted%20Financial%20Plan.pdf" TargetMode="External"/><Relationship Id="rId10" Type="http://schemas.openxmlformats.org/officeDocument/2006/relationships/hyperlink" Target="https://mtl.ged.montreal.ca/constellio/?collection=mtlca&amp;portal=REPDOCVDM" TargetMode="External"/><Relationship Id="rId4" Type="http://schemas.openxmlformats.org/officeDocument/2006/relationships/hyperlink" Target="https://www.edmonton.ca/sites/default/files/public-files/documents/2026-approved-operating-budget-april.pdf" TargetMode="External"/><Relationship Id="rId9" Type="http://schemas.openxmlformats.org/officeDocument/2006/relationships/hyperlink" Target="https://www.ville.quebec.qc.ca/apropos/profil-financier/docs/budget2026-Detaille.pdf" TargetMode="External"/><Relationship Id="rId14" Type="http://schemas.openxmlformats.org/officeDocument/2006/relationships/hyperlink" Target="https://northsaanich.ca/wp-content/uploads/2026-2030-Financial-Pla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31"/>
  <sheetViews>
    <sheetView zoomScaleNormal="100" workbookViewId="0">
      <selection activeCell="H13" sqref="H13"/>
    </sheetView>
  </sheetViews>
  <sheetFormatPr defaultColWidth="12.5546875" defaultRowHeight="15.75" customHeight="1" x14ac:dyDescent="0.25"/>
  <cols>
    <col min="2" max="3" width="3.6640625" style="8" customWidth="1"/>
    <col min="4" max="4" width="3.6640625" customWidth="1"/>
    <col min="5" max="5" width="3.6640625" style="8" customWidth="1"/>
    <col min="8" max="8" width="16.44140625" customWidth="1"/>
    <col min="9" max="9" width="18.44140625" customWidth="1"/>
  </cols>
  <sheetData>
    <row r="1" spans="1:10" ht="13.2" x14ac:dyDescent="0.25">
      <c r="B1" s="8" t="s">
        <v>33</v>
      </c>
      <c r="C1" s="8" t="s">
        <v>35</v>
      </c>
      <c r="D1" t="s">
        <v>34</v>
      </c>
      <c r="E1" s="20" t="s">
        <v>38</v>
      </c>
      <c r="F1" s="1">
        <v>2025</v>
      </c>
      <c r="G1" s="1">
        <v>2026</v>
      </c>
      <c r="H1" s="1" t="s">
        <v>0</v>
      </c>
      <c r="I1" s="1" t="s">
        <v>1</v>
      </c>
      <c r="J1" s="1" t="s">
        <v>139</v>
      </c>
    </row>
    <row r="2" spans="1:10" ht="13.2" x14ac:dyDescent="0.25">
      <c r="A2" s="1" t="s">
        <v>2</v>
      </c>
      <c r="B2" s="9">
        <v>1</v>
      </c>
      <c r="C2" s="9"/>
      <c r="D2" s="2">
        <v>1</v>
      </c>
      <c r="E2" s="21">
        <v>1</v>
      </c>
      <c r="F2" s="2">
        <v>83417340</v>
      </c>
      <c r="G2" s="2">
        <v>94989170</v>
      </c>
      <c r="H2" s="2">
        <v>91867</v>
      </c>
      <c r="I2" s="2">
        <v>357796860</v>
      </c>
      <c r="J2" s="3" t="s">
        <v>3</v>
      </c>
    </row>
    <row r="3" spans="1:10" ht="13.2" hidden="1" x14ac:dyDescent="0.25">
      <c r="A3" s="1" t="s">
        <v>4</v>
      </c>
      <c r="B3" s="9"/>
      <c r="C3" s="9"/>
      <c r="F3" s="2">
        <v>479100000</v>
      </c>
      <c r="G3" s="2">
        <v>525300000</v>
      </c>
      <c r="H3" s="2">
        <v>662248</v>
      </c>
      <c r="I3" s="2">
        <v>2342700000</v>
      </c>
      <c r="J3" s="3" t="s">
        <v>5</v>
      </c>
    </row>
    <row r="4" spans="1:10" ht="13.2" x14ac:dyDescent="0.25">
      <c r="A4" s="1" t="s">
        <v>8</v>
      </c>
      <c r="B4" s="9">
        <v>1</v>
      </c>
      <c r="C4" s="9">
        <v>1</v>
      </c>
      <c r="F4" s="2">
        <v>582290000</v>
      </c>
      <c r="G4" s="2">
        <v>627920000</v>
      </c>
      <c r="H4" s="2">
        <v>1010899</v>
      </c>
      <c r="I4" s="2">
        <v>3587746000</v>
      </c>
      <c r="J4" s="3" t="s">
        <v>9</v>
      </c>
    </row>
    <row r="5" spans="1:10" ht="13.2" x14ac:dyDescent="0.25">
      <c r="A5" s="1" t="s">
        <v>10</v>
      </c>
      <c r="B5" s="9">
        <v>1</v>
      </c>
      <c r="C5" s="9"/>
      <c r="F5" s="2">
        <v>122460000</v>
      </c>
      <c r="G5" s="2">
        <v>131900000</v>
      </c>
      <c r="H5" s="2">
        <v>226404</v>
      </c>
      <c r="I5" s="2">
        <v>837560000</v>
      </c>
      <c r="J5" s="3" t="s">
        <v>11</v>
      </c>
    </row>
    <row r="6" spans="1:10" ht="13.2" hidden="1" x14ac:dyDescent="0.25">
      <c r="A6" s="1" t="s">
        <v>6</v>
      </c>
      <c r="B6" s="9"/>
      <c r="C6" s="9">
        <v>1</v>
      </c>
      <c r="F6" s="2">
        <v>648000000</v>
      </c>
      <c r="G6" s="2">
        <v>678000000</v>
      </c>
      <c r="H6" s="2">
        <v>1306784</v>
      </c>
      <c r="I6" s="2">
        <v>4559000000</v>
      </c>
      <c r="J6" s="3" t="s">
        <v>7</v>
      </c>
    </row>
    <row r="7" spans="1:10" ht="13.2" x14ac:dyDescent="0.25">
      <c r="A7" s="6" t="s">
        <v>37</v>
      </c>
      <c r="B7" s="8">
        <v>1</v>
      </c>
      <c r="F7" s="2">
        <f>8381474+5607748+8929586+8152998</f>
        <v>31071806</v>
      </c>
      <c r="G7" s="2">
        <f>6318553+6290268+6135374+7880084</f>
        <v>26624279</v>
      </c>
      <c r="H7" s="7">
        <v>63116</v>
      </c>
      <c r="I7" s="7">
        <v>180154363</v>
      </c>
      <c r="J7" s="5" t="s">
        <v>137</v>
      </c>
    </row>
    <row r="8" spans="1:10" ht="13.2" x14ac:dyDescent="0.25">
      <c r="A8" s="1" t="s">
        <v>14</v>
      </c>
      <c r="B8" s="9">
        <v>1</v>
      </c>
      <c r="C8" s="9">
        <v>1</v>
      </c>
      <c r="F8" s="2">
        <v>1339044000</v>
      </c>
      <c r="G8" s="2">
        <v>1432872000</v>
      </c>
      <c r="H8" s="2">
        <v>2794356</v>
      </c>
      <c r="I8" s="2">
        <v>6901613000</v>
      </c>
      <c r="J8" s="3" t="s">
        <v>15</v>
      </c>
    </row>
    <row r="9" spans="1:10" ht="13.2" hidden="1" x14ac:dyDescent="0.25">
      <c r="A9" s="1" t="s">
        <v>20</v>
      </c>
      <c r="B9" s="9"/>
      <c r="C9" s="9">
        <v>1</v>
      </c>
      <c r="F9" s="2">
        <v>824074300</v>
      </c>
      <c r="G9" s="2">
        <v>860286400</v>
      </c>
      <c r="H9" s="2">
        <v>1762949</v>
      </c>
      <c r="I9" s="4">
        <v>3647584300</v>
      </c>
      <c r="J9" s="3" t="s">
        <v>21</v>
      </c>
    </row>
    <row r="10" spans="1:10" ht="13.2" x14ac:dyDescent="0.25">
      <c r="A10" s="1" t="s">
        <v>12</v>
      </c>
      <c r="B10" s="9">
        <v>1</v>
      </c>
      <c r="C10" s="9"/>
      <c r="F10" s="2">
        <v>338871387</v>
      </c>
      <c r="G10" s="2">
        <v>356228206</v>
      </c>
      <c r="H10" s="2">
        <v>749607</v>
      </c>
      <c r="I10" s="2">
        <v>1204228094</v>
      </c>
      <c r="J10" s="3" t="s">
        <v>13</v>
      </c>
    </row>
    <row r="11" spans="1:10" ht="13.2" x14ac:dyDescent="0.25">
      <c r="A11" s="1" t="s">
        <v>16</v>
      </c>
      <c r="B11" s="9">
        <v>1</v>
      </c>
      <c r="C11" s="9">
        <v>1</v>
      </c>
      <c r="F11" s="2">
        <v>442456000</v>
      </c>
      <c r="G11" s="2">
        <v>478709000</v>
      </c>
      <c r="H11" s="2">
        <v>1017449</v>
      </c>
      <c r="I11" s="2">
        <v>4979959000</v>
      </c>
      <c r="J11" s="3" t="s">
        <v>17</v>
      </c>
    </row>
    <row r="12" spans="1:10" ht="13.2" x14ac:dyDescent="0.25">
      <c r="A12" s="1" t="s">
        <v>136</v>
      </c>
      <c r="B12" s="9">
        <v>1</v>
      </c>
      <c r="C12" s="9"/>
      <c r="F12" s="2">
        <v>15852017</v>
      </c>
      <c r="G12" s="2">
        <v>15932370</v>
      </c>
      <c r="H12" s="2">
        <v>38809</v>
      </c>
      <c r="I12" s="2">
        <v>86447314</v>
      </c>
      <c r="J12" s="3" t="s">
        <v>138</v>
      </c>
    </row>
    <row r="13" spans="1:10" ht="13.2" x14ac:dyDescent="0.25">
      <c r="A13" s="1" t="s">
        <v>18</v>
      </c>
      <c r="B13" s="9">
        <v>1</v>
      </c>
      <c r="C13" s="9"/>
      <c r="F13" s="2">
        <v>174600000</v>
      </c>
      <c r="G13" s="2">
        <v>186700000</v>
      </c>
      <c r="H13" s="2">
        <v>549459</v>
      </c>
      <c r="I13" s="2">
        <v>2015400000</v>
      </c>
      <c r="J13" s="3" t="s">
        <v>19</v>
      </c>
    </row>
    <row r="14" spans="1:10" ht="13.2" hidden="1" x14ac:dyDescent="0.25">
      <c r="A14" s="1" t="s">
        <v>24</v>
      </c>
      <c r="B14" s="9"/>
      <c r="C14" s="9"/>
      <c r="D14">
        <v>1</v>
      </c>
      <c r="F14" s="2">
        <v>8207700</v>
      </c>
      <c r="G14" s="2">
        <v>8949100</v>
      </c>
      <c r="H14" s="2">
        <v>17385</v>
      </c>
      <c r="I14" s="2">
        <v>35085600</v>
      </c>
      <c r="J14" s="3" t="s">
        <v>25</v>
      </c>
    </row>
    <row r="15" spans="1:10" ht="13.2" hidden="1" x14ac:dyDescent="0.25">
      <c r="A15" s="1" t="s">
        <v>26</v>
      </c>
      <c r="B15" s="9"/>
      <c r="C15" s="9"/>
      <c r="D15">
        <v>1</v>
      </c>
      <c r="F15" s="2">
        <v>3433726</v>
      </c>
      <c r="G15" s="2">
        <v>3630895</v>
      </c>
      <c r="H15" s="2">
        <v>12318</v>
      </c>
      <c r="I15" s="2">
        <v>23832216</v>
      </c>
      <c r="J15" s="3" t="s">
        <v>27</v>
      </c>
    </row>
    <row r="16" spans="1:10" ht="13.2" hidden="1" x14ac:dyDescent="0.25">
      <c r="A16" s="1" t="s">
        <v>28</v>
      </c>
      <c r="B16" s="9"/>
      <c r="C16" s="9"/>
      <c r="D16">
        <v>1</v>
      </c>
      <c r="F16" s="2" t="s">
        <v>29</v>
      </c>
      <c r="G16" s="2"/>
      <c r="H16" s="2"/>
      <c r="I16" s="2">
        <v>3085750</v>
      </c>
      <c r="J16" s="3" t="s">
        <v>30</v>
      </c>
    </row>
    <row r="17" spans="1:11" ht="13.2" hidden="1" x14ac:dyDescent="0.25">
      <c r="A17" s="1" t="s">
        <v>31</v>
      </c>
      <c r="B17" s="9"/>
      <c r="C17" s="9"/>
      <c r="D17">
        <v>1</v>
      </c>
      <c r="F17" s="2">
        <v>50839800</v>
      </c>
      <c r="G17" s="2">
        <v>53990800</v>
      </c>
      <c r="H17" s="2">
        <v>117735</v>
      </c>
      <c r="I17" s="4">
        <v>241588500</v>
      </c>
      <c r="J17" s="3" t="s">
        <v>32</v>
      </c>
    </row>
    <row r="18" spans="1:11" ht="13.2" x14ac:dyDescent="0.25">
      <c r="A18" s="1" t="s">
        <v>22</v>
      </c>
      <c r="B18" s="9">
        <v>1</v>
      </c>
      <c r="C18" s="9"/>
      <c r="F18" s="2">
        <v>114715100</v>
      </c>
      <c r="G18" s="2">
        <v>115579700</v>
      </c>
      <c r="H18" s="2">
        <v>439819</v>
      </c>
      <c r="I18" s="2">
        <v>1333600000</v>
      </c>
      <c r="J18" s="3" t="s">
        <v>23</v>
      </c>
    </row>
    <row r="19" spans="1:11" ht="15.75" customHeight="1" x14ac:dyDescent="0.25">
      <c r="A19" s="6" t="s">
        <v>36</v>
      </c>
      <c r="B19" s="8">
        <v>1</v>
      </c>
      <c r="F19" s="22">
        <v>0</v>
      </c>
      <c r="G19" s="22"/>
      <c r="H19" s="2">
        <v>110525</v>
      </c>
      <c r="I19" s="2"/>
    </row>
    <row r="20" spans="1:11" ht="15.75" hidden="1" customHeight="1" x14ac:dyDescent="0.25">
      <c r="A20" s="6" t="s">
        <v>39</v>
      </c>
      <c r="E20" s="8">
        <v>1</v>
      </c>
      <c r="F20" s="15" t="s">
        <v>46</v>
      </c>
      <c r="G20" s="14"/>
      <c r="H20" s="10">
        <v>94415</v>
      </c>
    </row>
    <row r="21" spans="1:11" ht="15.75" hidden="1" customHeight="1" x14ac:dyDescent="0.25">
      <c r="A21" s="6" t="s">
        <v>40</v>
      </c>
      <c r="E21" s="8">
        <v>1</v>
      </c>
      <c r="F21" s="2">
        <v>33981703</v>
      </c>
      <c r="G21" s="2">
        <v>35600411</v>
      </c>
      <c r="H21" s="10">
        <v>93694</v>
      </c>
      <c r="I21" s="7">
        <v>187850713</v>
      </c>
      <c r="J21" t="s">
        <v>47</v>
      </c>
    </row>
    <row r="22" spans="1:11" ht="15.75" hidden="1" customHeight="1" x14ac:dyDescent="0.25">
      <c r="A22" s="6" t="s">
        <v>41</v>
      </c>
      <c r="E22" s="8">
        <v>1</v>
      </c>
      <c r="F22" s="12">
        <v>54898650</v>
      </c>
      <c r="G22" s="12">
        <v>54898650</v>
      </c>
      <c r="H22" s="10">
        <v>93203</v>
      </c>
      <c r="I22" s="12">
        <v>253377300</v>
      </c>
      <c r="J22" t="s">
        <v>48</v>
      </c>
      <c r="K22" s="5" t="s">
        <v>49</v>
      </c>
    </row>
    <row r="23" spans="1:11" ht="15.75" hidden="1" customHeight="1" x14ac:dyDescent="0.25">
      <c r="A23" s="6" t="s">
        <v>42</v>
      </c>
      <c r="E23" s="8">
        <v>1</v>
      </c>
      <c r="F23" s="11"/>
      <c r="G23" s="11"/>
      <c r="H23" s="10">
        <v>91525</v>
      </c>
      <c r="I23" s="11"/>
      <c r="K23" s="5" t="s">
        <v>50</v>
      </c>
    </row>
    <row r="24" spans="1:11" ht="15.75" hidden="1" customHeight="1" x14ac:dyDescent="0.25">
      <c r="A24" s="6" t="s">
        <v>43</v>
      </c>
      <c r="E24" s="8">
        <v>1</v>
      </c>
      <c r="F24" s="13"/>
      <c r="G24" s="12"/>
      <c r="H24" s="10">
        <v>90990</v>
      </c>
      <c r="I24" s="11"/>
      <c r="K24" s="5" t="s">
        <v>51</v>
      </c>
    </row>
    <row r="25" spans="1:11" ht="15.75" hidden="1" customHeight="1" x14ac:dyDescent="0.25">
      <c r="A25" s="6" t="s">
        <v>44</v>
      </c>
      <c r="E25" s="8">
        <v>1</v>
      </c>
      <c r="F25" s="12">
        <v>20739205</v>
      </c>
      <c r="G25" s="12">
        <v>21589341</v>
      </c>
      <c r="H25" s="10">
        <v>88168</v>
      </c>
      <c r="I25" s="12">
        <v>110460302</v>
      </c>
      <c r="J25" t="s">
        <v>52</v>
      </c>
    </row>
    <row r="26" spans="1:11" ht="15.75" hidden="1" customHeight="1" x14ac:dyDescent="0.25">
      <c r="A26" s="6" t="s">
        <v>45</v>
      </c>
      <c r="E26" s="8">
        <v>1</v>
      </c>
      <c r="F26" s="11"/>
      <c r="G26" s="11"/>
      <c r="H26" s="10">
        <v>87942</v>
      </c>
      <c r="I26" s="11"/>
    </row>
    <row r="27" spans="1:11" ht="15.75" hidden="1" customHeight="1" x14ac:dyDescent="0.25"/>
    <row r="28" spans="1:11" ht="15.75" hidden="1" customHeight="1" x14ac:dyDescent="0.25"/>
    <row r="29" spans="1:11" ht="15.75" hidden="1" customHeight="1" x14ac:dyDescent="0.25"/>
    <row r="30" spans="1:11" ht="15.75" hidden="1" customHeight="1" x14ac:dyDescent="0.25"/>
    <row r="31" spans="1:11" ht="15.75" hidden="1" customHeight="1" x14ac:dyDescent="0.25"/>
  </sheetData>
  <autoFilter ref="A1:K31" xr:uid="{00000000-0001-0000-0000-000000000000}">
    <filterColumn colId="1">
      <customFilters>
        <customFilter operator="notEqual" val=" "/>
      </customFilters>
    </filterColumn>
  </autoFilter>
  <hyperlinks>
    <hyperlink ref="J2" r:id="rId1" xr:uid="{00000000-0004-0000-0000-000000000000}"/>
    <hyperlink ref="J3" r:id="rId2" xr:uid="{00000000-0004-0000-0000-000001000000}"/>
    <hyperlink ref="J6" r:id="rId3" location="resources" xr:uid="{00000000-0004-0000-0000-000002000000}"/>
    <hyperlink ref="J4" r:id="rId4" xr:uid="{00000000-0004-0000-0000-000003000000}"/>
    <hyperlink ref="J5" r:id="rId5" xr:uid="{00000000-0004-0000-0000-000004000000}"/>
    <hyperlink ref="J10" r:id="rId6" xr:uid="{00000000-0004-0000-0000-000005000000}"/>
    <hyperlink ref="J8" r:id="rId7" xr:uid="{00000000-0004-0000-0000-000006000000}"/>
    <hyperlink ref="J11" r:id="rId8" location="1" xr:uid="{00000000-0004-0000-0000-000007000000}"/>
    <hyperlink ref="J13" r:id="rId9" xr:uid="{00000000-0004-0000-0000-000008000000}"/>
    <hyperlink ref="J9" r:id="rId10" location="!displayDocument/00000133583" xr:uid="{00000000-0004-0000-0000-000009000000}"/>
    <hyperlink ref="J18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7" r:id="rId15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59EE-1376-46B3-9B84-393AC66ECA7F}">
  <dimension ref="A1:L79"/>
  <sheetViews>
    <sheetView tabSelected="1" zoomScaleNormal="100" workbookViewId="0">
      <selection activeCell="K7" sqref="K7"/>
    </sheetView>
  </sheetViews>
  <sheetFormatPr defaultColWidth="9.109375" defaultRowHeight="13.2" x14ac:dyDescent="0.25"/>
  <cols>
    <col min="1" max="1" width="17" customWidth="1"/>
    <col min="3" max="3" width="8.5546875" customWidth="1"/>
    <col min="4" max="5" width="9.109375" hidden="1" customWidth="1"/>
    <col min="9" max="9" width="16" bestFit="1" customWidth="1"/>
    <col min="10" max="10" width="9.33203125" bestFit="1" customWidth="1"/>
  </cols>
  <sheetData>
    <row r="1" spans="1:12" x14ac:dyDescent="0.25">
      <c r="A1" t="s">
        <v>94</v>
      </c>
      <c r="B1" s="16" t="s">
        <v>95</v>
      </c>
      <c r="C1" s="16" t="s">
        <v>96</v>
      </c>
      <c r="D1" s="16" t="s">
        <v>97</v>
      </c>
      <c r="E1" s="16" t="s">
        <v>98</v>
      </c>
      <c r="F1" s="16" t="s">
        <v>99</v>
      </c>
      <c r="G1" s="16" t="s">
        <v>100</v>
      </c>
      <c r="H1" s="16" t="s">
        <v>101</v>
      </c>
      <c r="I1" t="s">
        <v>102</v>
      </c>
      <c r="J1" t="s">
        <v>103</v>
      </c>
    </row>
    <row r="2" spans="1:12" x14ac:dyDescent="0.25">
      <c r="A2" t="s">
        <v>2</v>
      </c>
      <c r="B2">
        <v>122157</v>
      </c>
      <c r="C2">
        <v>257</v>
      </c>
      <c r="D2">
        <v>257</v>
      </c>
      <c r="E2">
        <v>475</v>
      </c>
      <c r="F2">
        <v>10642</v>
      </c>
      <c r="G2">
        <v>87</v>
      </c>
      <c r="H2">
        <v>41</v>
      </c>
      <c r="I2" s="17">
        <v>77147339</v>
      </c>
      <c r="J2" s="17">
        <v>632</v>
      </c>
      <c r="L2" s="18"/>
    </row>
    <row r="3" spans="1:12" x14ac:dyDescent="0.25">
      <c r="A3" t="s">
        <v>135</v>
      </c>
      <c r="B3">
        <v>12925</v>
      </c>
      <c r="C3">
        <v>36</v>
      </c>
      <c r="D3">
        <v>36</v>
      </c>
      <c r="E3">
        <v>359</v>
      </c>
      <c r="F3">
        <v>1785</v>
      </c>
      <c r="G3">
        <v>138</v>
      </c>
      <c r="H3">
        <v>50</v>
      </c>
      <c r="I3" s="19">
        <v>7884514</v>
      </c>
      <c r="J3" s="19">
        <v>610</v>
      </c>
    </row>
    <row r="4" spans="1:12" x14ac:dyDescent="0.25">
      <c r="A4" t="s">
        <v>4</v>
      </c>
      <c r="B4">
        <v>757849</v>
      </c>
      <c r="C4">
        <v>1452</v>
      </c>
      <c r="D4">
        <v>1452</v>
      </c>
      <c r="E4">
        <v>522</v>
      </c>
      <c r="F4">
        <v>45749</v>
      </c>
      <c r="G4">
        <v>60</v>
      </c>
      <c r="H4">
        <v>32</v>
      </c>
      <c r="I4" s="19">
        <v>459626680</v>
      </c>
      <c r="J4" s="19">
        <v>606</v>
      </c>
    </row>
    <row r="5" spans="1:12" x14ac:dyDescent="0.25">
      <c r="A5" t="s">
        <v>93</v>
      </c>
      <c r="B5">
        <v>11382</v>
      </c>
      <c r="C5">
        <v>25</v>
      </c>
      <c r="D5">
        <v>25</v>
      </c>
      <c r="E5">
        <v>455</v>
      </c>
      <c r="F5">
        <v>1949</v>
      </c>
      <c r="G5">
        <v>171</v>
      </c>
      <c r="H5">
        <v>78</v>
      </c>
      <c r="I5" s="19">
        <v>5951995</v>
      </c>
      <c r="J5" s="19">
        <v>523</v>
      </c>
    </row>
    <row r="6" spans="1:12" x14ac:dyDescent="0.25">
      <c r="A6" t="s">
        <v>83</v>
      </c>
      <c r="B6">
        <v>10238</v>
      </c>
      <c r="C6">
        <v>24</v>
      </c>
      <c r="D6">
        <v>24</v>
      </c>
      <c r="E6">
        <v>427</v>
      </c>
      <c r="F6">
        <v>2776</v>
      </c>
      <c r="G6">
        <v>271</v>
      </c>
      <c r="H6">
        <v>116</v>
      </c>
      <c r="I6" s="19">
        <v>5327565</v>
      </c>
      <c r="J6" s="19">
        <v>520</v>
      </c>
    </row>
    <row r="7" spans="1:12" x14ac:dyDescent="0.25">
      <c r="A7" t="s">
        <v>117</v>
      </c>
      <c r="B7">
        <v>19685</v>
      </c>
      <c r="C7">
        <v>34</v>
      </c>
      <c r="D7">
        <v>34</v>
      </c>
      <c r="E7">
        <v>579</v>
      </c>
      <c r="F7">
        <v>3328</v>
      </c>
      <c r="G7">
        <v>169</v>
      </c>
      <c r="H7">
        <v>98</v>
      </c>
      <c r="I7" s="19">
        <v>10205584</v>
      </c>
      <c r="J7" s="19">
        <v>518</v>
      </c>
    </row>
    <row r="8" spans="1:12" x14ac:dyDescent="0.25">
      <c r="A8" t="s">
        <v>107</v>
      </c>
      <c r="B8">
        <v>35315</v>
      </c>
      <c r="C8">
        <v>54</v>
      </c>
      <c r="D8">
        <v>59</v>
      </c>
      <c r="E8">
        <v>596</v>
      </c>
      <c r="F8">
        <v>3652</v>
      </c>
      <c r="G8">
        <v>103</v>
      </c>
      <c r="H8">
        <v>62</v>
      </c>
      <c r="I8" s="19">
        <v>17540766</v>
      </c>
      <c r="J8" s="19">
        <v>497</v>
      </c>
    </row>
    <row r="9" spans="1:12" x14ac:dyDescent="0.25">
      <c r="A9" t="s">
        <v>89</v>
      </c>
      <c r="B9">
        <v>13251</v>
      </c>
      <c r="C9">
        <v>31</v>
      </c>
      <c r="D9">
        <v>31</v>
      </c>
      <c r="E9">
        <v>427</v>
      </c>
      <c r="F9">
        <v>2196</v>
      </c>
      <c r="G9">
        <v>166</v>
      </c>
      <c r="H9">
        <v>71</v>
      </c>
      <c r="I9" s="19">
        <v>6398979</v>
      </c>
      <c r="J9" s="19">
        <v>483</v>
      </c>
    </row>
    <row r="10" spans="1:12" x14ac:dyDescent="0.25">
      <c r="A10" t="s">
        <v>66</v>
      </c>
      <c r="B10">
        <v>12775</v>
      </c>
      <c r="C10">
        <v>25</v>
      </c>
      <c r="D10">
        <v>25</v>
      </c>
      <c r="E10">
        <v>511</v>
      </c>
      <c r="F10">
        <v>1770</v>
      </c>
      <c r="G10">
        <v>139</v>
      </c>
      <c r="H10">
        <v>71</v>
      </c>
      <c r="I10" s="19">
        <v>5788930</v>
      </c>
      <c r="J10" s="19">
        <v>453</v>
      </c>
    </row>
    <row r="11" spans="1:12" x14ac:dyDescent="0.25">
      <c r="A11" t="s">
        <v>130</v>
      </c>
      <c r="B11">
        <v>12343</v>
      </c>
      <c r="C11">
        <v>23</v>
      </c>
      <c r="D11">
        <v>23</v>
      </c>
      <c r="E11">
        <v>537</v>
      </c>
      <c r="F11">
        <v>1124</v>
      </c>
      <c r="G11">
        <v>91</v>
      </c>
      <c r="H11">
        <v>49</v>
      </c>
      <c r="I11" s="19">
        <v>5569187</v>
      </c>
      <c r="J11" s="19">
        <v>451</v>
      </c>
    </row>
    <row r="12" spans="1:12" x14ac:dyDescent="0.25">
      <c r="A12" t="s">
        <v>74</v>
      </c>
      <c r="B12">
        <v>7285</v>
      </c>
      <c r="C12">
        <v>17</v>
      </c>
      <c r="D12">
        <v>17</v>
      </c>
      <c r="E12">
        <v>429</v>
      </c>
      <c r="F12">
        <v>1643</v>
      </c>
      <c r="G12">
        <v>226</v>
      </c>
      <c r="H12">
        <v>97</v>
      </c>
      <c r="I12" s="19">
        <v>3263988</v>
      </c>
      <c r="J12" s="19">
        <v>448</v>
      </c>
    </row>
    <row r="13" spans="1:12" x14ac:dyDescent="0.25">
      <c r="A13" t="s">
        <v>59</v>
      </c>
      <c r="B13">
        <v>24286</v>
      </c>
      <c r="C13">
        <v>38</v>
      </c>
      <c r="D13">
        <v>38</v>
      </c>
      <c r="E13">
        <v>639</v>
      </c>
      <c r="F13">
        <v>2844</v>
      </c>
      <c r="G13">
        <v>117</v>
      </c>
      <c r="H13">
        <v>75</v>
      </c>
      <c r="I13" s="19">
        <v>10750824</v>
      </c>
      <c r="J13" s="19">
        <v>443</v>
      </c>
    </row>
    <row r="14" spans="1:12" x14ac:dyDescent="0.25">
      <c r="A14" t="s">
        <v>119</v>
      </c>
      <c r="B14">
        <v>84907</v>
      </c>
      <c r="C14">
        <v>153</v>
      </c>
      <c r="D14">
        <v>153</v>
      </c>
      <c r="E14">
        <v>555</v>
      </c>
      <c r="F14">
        <v>15276</v>
      </c>
      <c r="G14">
        <v>180</v>
      </c>
      <c r="H14">
        <v>100</v>
      </c>
      <c r="I14" s="19">
        <v>37392222</v>
      </c>
      <c r="J14" s="19">
        <v>440</v>
      </c>
    </row>
    <row r="15" spans="1:12" x14ac:dyDescent="0.25">
      <c r="A15" t="s">
        <v>134</v>
      </c>
      <c r="B15">
        <v>52280</v>
      </c>
      <c r="C15">
        <v>79</v>
      </c>
      <c r="D15">
        <v>82</v>
      </c>
      <c r="E15">
        <v>639</v>
      </c>
      <c r="F15">
        <v>2467</v>
      </c>
      <c r="G15">
        <v>47</v>
      </c>
      <c r="H15">
        <v>30</v>
      </c>
      <c r="I15" s="19">
        <v>22980516</v>
      </c>
      <c r="J15" s="19">
        <v>440</v>
      </c>
    </row>
    <row r="16" spans="1:12" x14ac:dyDescent="0.25">
      <c r="A16" t="s">
        <v>72</v>
      </c>
      <c r="B16">
        <v>9169</v>
      </c>
      <c r="C16">
        <v>20</v>
      </c>
      <c r="D16">
        <v>20</v>
      </c>
      <c r="E16">
        <v>458</v>
      </c>
      <c r="F16">
        <v>735</v>
      </c>
      <c r="G16">
        <v>80</v>
      </c>
      <c r="H16">
        <v>37</v>
      </c>
      <c r="I16" s="19">
        <v>4013838</v>
      </c>
      <c r="J16" s="19">
        <v>438</v>
      </c>
    </row>
    <row r="17" spans="1:10" x14ac:dyDescent="0.25">
      <c r="A17" t="s">
        <v>86</v>
      </c>
      <c r="B17">
        <v>5653</v>
      </c>
      <c r="C17">
        <v>11</v>
      </c>
      <c r="D17">
        <v>11</v>
      </c>
      <c r="E17">
        <v>514</v>
      </c>
      <c r="F17">
        <v>1002</v>
      </c>
      <c r="G17">
        <v>177</v>
      </c>
      <c r="H17">
        <v>91</v>
      </c>
      <c r="I17" s="19">
        <v>2456196</v>
      </c>
      <c r="J17" s="19">
        <v>434</v>
      </c>
    </row>
    <row r="18" spans="1:10" x14ac:dyDescent="0.25">
      <c r="A18" t="s">
        <v>127</v>
      </c>
      <c r="B18">
        <v>175219</v>
      </c>
      <c r="C18">
        <v>218</v>
      </c>
      <c r="D18">
        <v>227</v>
      </c>
      <c r="E18">
        <v>706</v>
      </c>
      <c r="F18">
        <v>9662</v>
      </c>
      <c r="G18">
        <v>55</v>
      </c>
      <c r="H18">
        <v>43</v>
      </c>
      <c r="I18" s="19">
        <v>71941468</v>
      </c>
      <c r="J18" s="19">
        <v>411</v>
      </c>
    </row>
    <row r="19" spans="1:10" x14ac:dyDescent="0.25">
      <c r="A19" t="s">
        <v>41</v>
      </c>
      <c r="B19">
        <v>107769</v>
      </c>
      <c r="C19">
        <v>152</v>
      </c>
      <c r="D19">
        <v>165</v>
      </c>
      <c r="E19">
        <v>652</v>
      </c>
      <c r="F19">
        <v>12468</v>
      </c>
      <c r="G19">
        <v>116</v>
      </c>
      <c r="H19">
        <v>75</v>
      </c>
      <c r="I19" s="19">
        <v>43865748</v>
      </c>
      <c r="J19" s="19">
        <v>407</v>
      </c>
    </row>
    <row r="20" spans="1:10" x14ac:dyDescent="0.25">
      <c r="A20" t="s">
        <v>31</v>
      </c>
      <c r="B20">
        <v>125444</v>
      </c>
      <c r="C20">
        <v>172</v>
      </c>
      <c r="D20">
        <v>172</v>
      </c>
      <c r="E20">
        <v>729</v>
      </c>
      <c r="F20">
        <v>3727</v>
      </c>
      <c r="G20">
        <v>30</v>
      </c>
      <c r="H20">
        <v>22</v>
      </c>
      <c r="I20" s="19">
        <v>50588365</v>
      </c>
      <c r="J20" s="19">
        <v>403</v>
      </c>
    </row>
    <row r="21" spans="1:10" x14ac:dyDescent="0.25">
      <c r="A21" t="s">
        <v>129</v>
      </c>
      <c r="B21">
        <v>127830</v>
      </c>
      <c r="C21">
        <v>194</v>
      </c>
      <c r="D21">
        <v>197</v>
      </c>
      <c r="E21">
        <v>632</v>
      </c>
      <c r="F21">
        <v>4336</v>
      </c>
      <c r="G21">
        <v>34</v>
      </c>
      <c r="H21">
        <v>22</v>
      </c>
      <c r="I21" s="19">
        <v>51269317</v>
      </c>
      <c r="J21" s="19">
        <v>401</v>
      </c>
    </row>
    <row r="22" spans="1:10" x14ac:dyDescent="0.25">
      <c r="A22" t="s">
        <v>69</v>
      </c>
      <c r="B22">
        <v>6832</v>
      </c>
      <c r="C22">
        <v>14</v>
      </c>
      <c r="D22">
        <v>15</v>
      </c>
      <c r="E22">
        <v>442</v>
      </c>
      <c r="F22">
        <v>1484</v>
      </c>
      <c r="G22">
        <v>217</v>
      </c>
      <c r="H22">
        <v>96</v>
      </c>
      <c r="I22" s="19">
        <v>2731088</v>
      </c>
      <c r="J22" s="19">
        <v>400</v>
      </c>
    </row>
    <row r="23" spans="1:10" x14ac:dyDescent="0.25">
      <c r="A23" t="s">
        <v>133</v>
      </c>
      <c r="B23">
        <v>38943</v>
      </c>
      <c r="C23">
        <v>53</v>
      </c>
      <c r="D23">
        <v>55</v>
      </c>
      <c r="E23">
        <v>714</v>
      </c>
      <c r="F23">
        <v>1139</v>
      </c>
      <c r="G23">
        <v>29</v>
      </c>
      <c r="H23">
        <v>21</v>
      </c>
      <c r="I23" s="19">
        <v>15503831</v>
      </c>
      <c r="J23" s="19">
        <v>398</v>
      </c>
    </row>
    <row r="24" spans="1:10" x14ac:dyDescent="0.25">
      <c r="A24" t="s">
        <v>131</v>
      </c>
      <c r="B24">
        <v>92435</v>
      </c>
      <c r="C24">
        <v>115</v>
      </c>
      <c r="D24">
        <v>118</v>
      </c>
      <c r="E24">
        <v>783</v>
      </c>
      <c r="F24">
        <v>5623</v>
      </c>
      <c r="G24">
        <v>61</v>
      </c>
      <c r="H24">
        <v>48</v>
      </c>
      <c r="I24" s="19">
        <v>36723541</v>
      </c>
      <c r="J24" s="19">
        <v>397</v>
      </c>
    </row>
    <row r="25" spans="1:10" x14ac:dyDescent="0.25">
      <c r="A25" t="s">
        <v>104</v>
      </c>
      <c r="B25">
        <v>167395</v>
      </c>
      <c r="C25">
        <v>244</v>
      </c>
      <c r="D25">
        <v>244</v>
      </c>
      <c r="E25">
        <v>686</v>
      </c>
      <c r="F25">
        <v>17351</v>
      </c>
      <c r="G25">
        <v>104</v>
      </c>
      <c r="H25">
        <v>71</v>
      </c>
      <c r="I25" s="19">
        <v>66173005</v>
      </c>
      <c r="J25" s="19">
        <v>395</v>
      </c>
    </row>
    <row r="26" spans="1:10" x14ac:dyDescent="0.25">
      <c r="A26" t="s">
        <v>92</v>
      </c>
      <c r="B26">
        <v>15620</v>
      </c>
      <c r="C26">
        <v>26</v>
      </c>
      <c r="D26">
        <v>26</v>
      </c>
      <c r="E26">
        <v>601</v>
      </c>
      <c r="F26">
        <v>1015</v>
      </c>
      <c r="G26">
        <v>65</v>
      </c>
      <c r="H26">
        <v>39</v>
      </c>
      <c r="I26" s="19">
        <v>6114235</v>
      </c>
      <c r="J26" s="19">
        <v>391</v>
      </c>
    </row>
    <row r="27" spans="1:10" x14ac:dyDescent="0.25">
      <c r="A27" t="s">
        <v>60</v>
      </c>
      <c r="B27">
        <v>109628</v>
      </c>
      <c r="C27">
        <v>158</v>
      </c>
      <c r="D27">
        <v>158</v>
      </c>
      <c r="E27">
        <v>694</v>
      </c>
      <c r="F27">
        <v>12153</v>
      </c>
      <c r="G27">
        <v>111</v>
      </c>
      <c r="H27">
        <v>77</v>
      </c>
      <c r="I27" s="19">
        <v>39731000</v>
      </c>
      <c r="J27" s="19">
        <v>362</v>
      </c>
    </row>
    <row r="28" spans="1:10" x14ac:dyDescent="0.25">
      <c r="A28" t="s">
        <v>110</v>
      </c>
      <c r="B28">
        <v>46606</v>
      </c>
      <c r="C28">
        <v>53</v>
      </c>
      <c r="D28">
        <v>58</v>
      </c>
      <c r="E28">
        <v>806</v>
      </c>
      <c r="F28">
        <v>4507</v>
      </c>
      <c r="G28">
        <v>97</v>
      </c>
      <c r="H28">
        <v>78</v>
      </c>
      <c r="I28" s="19">
        <v>16849612</v>
      </c>
      <c r="J28" s="19">
        <v>362</v>
      </c>
    </row>
    <row r="29" spans="1:10" x14ac:dyDescent="0.25">
      <c r="A29" t="s">
        <v>111</v>
      </c>
      <c r="B29">
        <v>110700</v>
      </c>
      <c r="C29">
        <v>164</v>
      </c>
      <c r="D29">
        <v>164</v>
      </c>
      <c r="E29">
        <v>675</v>
      </c>
      <c r="F29">
        <v>11202</v>
      </c>
      <c r="G29">
        <v>101</v>
      </c>
      <c r="H29">
        <v>68</v>
      </c>
      <c r="I29" s="19">
        <v>39529691</v>
      </c>
      <c r="J29" s="19">
        <v>357</v>
      </c>
    </row>
    <row r="30" spans="1:10" x14ac:dyDescent="0.25">
      <c r="A30" t="s">
        <v>115</v>
      </c>
      <c r="B30">
        <v>38767</v>
      </c>
      <c r="C30">
        <v>57</v>
      </c>
      <c r="D30">
        <v>57</v>
      </c>
      <c r="E30">
        <v>680</v>
      </c>
      <c r="F30">
        <v>6406</v>
      </c>
      <c r="G30">
        <v>165</v>
      </c>
      <c r="H30">
        <v>112</v>
      </c>
      <c r="I30" s="19">
        <v>13827617</v>
      </c>
      <c r="J30" s="19">
        <v>357</v>
      </c>
    </row>
    <row r="31" spans="1:10" x14ac:dyDescent="0.25">
      <c r="A31" t="s">
        <v>58</v>
      </c>
      <c r="B31">
        <v>22720</v>
      </c>
      <c r="C31">
        <v>30</v>
      </c>
      <c r="D31">
        <v>30</v>
      </c>
      <c r="E31">
        <v>757</v>
      </c>
      <c r="F31">
        <v>2890</v>
      </c>
      <c r="G31">
        <v>127</v>
      </c>
      <c r="H31">
        <v>96</v>
      </c>
      <c r="I31" s="19">
        <v>8074294</v>
      </c>
      <c r="J31" s="19">
        <v>355</v>
      </c>
    </row>
    <row r="32" spans="1:10" x14ac:dyDescent="0.25">
      <c r="A32" t="s">
        <v>128</v>
      </c>
      <c r="B32">
        <v>18135</v>
      </c>
      <c r="C32">
        <v>26</v>
      </c>
      <c r="D32">
        <v>26</v>
      </c>
      <c r="E32">
        <v>698</v>
      </c>
      <c r="F32">
        <v>466</v>
      </c>
      <c r="G32">
        <v>26</v>
      </c>
      <c r="H32">
        <v>18</v>
      </c>
      <c r="I32" s="19">
        <v>6350620</v>
      </c>
      <c r="J32" s="19">
        <v>350</v>
      </c>
    </row>
    <row r="33" spans="1:10" x14ac:dyDescent="0.25">
      <c r="A33" t="s">
        <v>90</v>
      </c>
      <c r="B33">
        <v>8402</v>
      </c>
      <c r="C33">
        <v>14</v>
      </c>
      <c r="D33">
        <v>14</v>
      </c>
      <c r="E33">
        <v>600</v>
      </c>
      <c r="F33">
        <v>896</v>
      </c>
      <c r="G33">
        <v>107</v>
      </c>
      <c r="H33">
        <v>64</v>
      </c>
      <c r="I33" s="19">
        <v>2901590</v>
      </c>
      <c r="J33" s="19">
        <v>345</v>
      </c>
    </row>
    <row r="34" spans="1:10" x14ac:dyDescent="0.25">
      <c r="A34" t="s">
        <v>120</v>
      </c>
      <c r="B34">
        <v>242965</v>
      </c>
      <c r="C34">
        <v>292</v>
      </c>
      <c r="D34">
        <v>298</v>
      </c>
      <c r="E34">
        <v>815</v>
      </c>
      <c r="F34">
        <v>13798</v>
      </c>
      <c r="G34">
        <v>57</v>
      </c>
      <c r="H34">
        <v>46</v>
      </c>
      <c r="I34" s="19">
        <v>78915543</v>
      </c>
      <c r="J34" s="19">
        <v>325</v>
      </c>
    </row>
    <row r="35" spans="1:10" x14ac:dyDescent="0.25">
      <c r="A35" t="s">
        <v>54</v>
      </c>
      <c r="B35">
        <v>39153</v>
      </c>
      <c r="C35">
        <v>49</v>
      </c>
      <c r="D35">
        <v>49</v>
      </c>
      <c r="E35">
        <v>799</v>
      </c>
      <c r="F35">
        <v>5803</v>
      </c>
      <c r="G35">
        <v>148</v>
      </c>
      <c r="H35">
        <v>118</v>
      </c>
      <c r="I35" s="19">
        <v>12237426</v>
      </c>
      <c r="J35" s="19">
        <v>313</v>
      </c>
    </row>
    <row r="36" spans="1:10" x14ac:dyDescent="0.25">
      <c r="A36" t="s">
        <v>132</v>
      </c>
      <c r="B36">
        <v>18803</v>
      </c>
      <c r="C36">
        <v>27</v>
      </c>
      <c r="D36">
        <v>27</v>
      </c>
      <c r="E36">
        <v>696</v>
      </c>
      <c r="F36">
        <v>473</v>
      </c>
      <c r="G36">
        <v>25</v>
      </c>
      <c r="H36">
        <v>18</v>
      </c>
      <c r="I36" s="19">
        <v>5842974</v>
      </c>
      <c r="J36" s="19">
        <v>311</v>
      </c>
    </row>
    <row r="37" spans="1:10" x14ac:dyDescent="0.25">
      <c r="A37" t="s">
        <v>124</v>
      </c>
      <c r="B37">
        <v>49167</v>
      </c>
      <c r="C37">
        <v>60</v>
      </c>
      <c r="D37">
        <v>60</v>
      </c>
      <c r="E37">
        <v>819</v>
      </c>
      <c r="F37">
        <v>6037</v>
      </c>
      <c r="G37">
        <v>123</v>
      </c>
      <c r="H37">
        <v>101</v>
      </c>
      <c r="I37" s="19">
        <v>14937253</v>
      </c>
      <c r="J37" s="19">
        <v>304</v>
      </c>
    </row>
    <row r="38" spans="1:10" x14ac:dyDescent="0.25">
      <c r="A38" t="s">
        <v>84</v>
      </c>
      <c r="B38">
        <v>9181</v>
      </c>
      <c r="C38">
        <v>14</v>
      </c>
      <c r="D38">
        <v>14</v>
      </c>
      <c r="E38">
        <v>656</v>
      </c>
      <c r="F38">
        <v>582</v>
      </c>
      <c r="G38">
        <v>63</v>
      </c>
      <c r="H38">
        <v>42</v>
      </c>
      <c r="I38" s="19">
        <v>2716048</v>
      </c>
      <c r="J38" s="19">
        <v>296</v>
      </c>
    </row>
    <row r="39" spans="1:10" x14ac:dyDescent="0.25">
      <c r="A39" t="s">
        <v>109</v>
      </c>
      <c r="B39">
        <v>106493</v>
      </c>
      <c r="C39">
        <v>120</v>
      </c>
      <c r="D39">
        <v>130</v>
      </c>
      <c r="E39">
        <v>821</v>
      </c>
      <c r="F39">
        <v>6819</v>
      </c>
      <c r="G39">
        <v>64</v>
      </c>
      <c r="H39">
        <v>53</v>
      </c>
      <c r="I39" s="19">
        <v>31303945</v>
      </c>
      <c r="J39" s="19">
        <v>294</v>
      </c>
    </row>
    <row r="40" spans="1:10" x14ac:dyDescent="0.25">
      <c r="A40" t="s">
        <v>113</v>
      </c>
      <c r="B40">
        <v>67977</v>
      </c>
      <c r="C40">
        <v>68</v>
      </c>
      <c r="D40">
        <v>69</v>
      </c>
      <c r="E40">
        <v>988</v>
      </c>
      <c r="F40">
        <v>4535</v>
      </c>
      <c r="G40">
        <v>67</v>
      </c>
      <c r="H40">
        <v>66</v>
      </c>
      <c r="I40" s="19">
        <v>19734858</v>
      </c>
      <c r="J40" s="19">
        <v>290</v>
      </c>
    </row>
    <row r="41" spans="1:10" x14ac:dyDescent="0.25">
      <c r="A41" t="s">
        <v>53</v>
      </c>
      <c r="B41">
        <v>298978</v>
      </c>
      <c r="C41">
        <v>301</v>
      </c>
      <c r="D41">
        <v>321</v>
      </c>
      <c r="E41">
        <v>932</v>
      </c>
      <c r="F41">
        <v>17104</v>
      </c>
      <c r="G41">
        <v>57</v>
      </c>
      <c r="H41">
        <v>53</v>
      </c>
      <c r="I41" s="19">
        <v>85998352</v>
      </c>
      <c r="J41" s="19">
        <v>288</v>
      </c>
    </row>
    <row r="42" spans="1:10" x14ac:dyDescent="0.25">
      <c r="A42" t="s">
        <v>126</v>
      </c>
      <c r="B42">
        <v>25124</v>
      </c>
      <c r="C42">
        <v>26</v>
      </c>
      <c r="D42">
        <v>27</v>
      </c>
      <c r="E42">
        <v>931</v>
      </c>
      <c r="F42">
        <v>1546</v>
      </c>
      <c r="G42">
        <v>62</v>
      </c>
      <c r="H42">
        <v>57</v>
      </c>
      <c r="I42" s="19">
        <v>7219402</v>
      </c>
      <c r="J42" s="19">
        <v>287</v>
      </c>
    </row>
    <row r="43" spans="1:10" x14ac:dyDescent="0.25">
      <c r="A43" t="s">
        <v>123</v>
      </c>
      <c r="B43">
        <v>28550</v>
      </c>
      <c r="C43">
        <v>32</v>
      </c>
      <c r="D43">
        <v>34</v>
      </c>
      <c r="E43">
        <v>839</v>
      </c>
      <c r="F43">
        <v>1667</v>
      </c>
      <c r="G43">
        <v>58</v>
      </c>
      <c r="H43">
        <v>49</v>
      </c>
      <c r="I43" s="19">
        <v>8135789</v>
      </c>
      <c r="J43" s="19">
        <v>285</v>
      </c>
    </row>
    <row r="44" spans="1:10" x14ac:dyDescent="0.25">
      <c r="A44" t="s">
        <v>62</v>
      </c>
      <c r="B44">
        <v>9253</v>
      </c>
      <c r="C44">
        <v>13</v>
      </c>
      <c r="D44">
        <v>13</v>
      </c>
      <c r="E44">
        <v>712</v>
      </c>
      <c r="F44">
        <v>743</v>
      </c>
      <c r="G44">
        <v>80</v>
      </c>
      <c r="H44">
        <v>57</v>
      </c>
      <c r="I44" s="19">
        <v>2612270</v>
      </c>
      <c r="J44" s="19">
        <v>282</v>
      </c>
    </row>
    <row r="45" spans="1:10" x14ac:dyDescent="0.25">
      <c r="A45" t="s">
        <v>112</v>
      </c>
      <c r="B45">
        <v>34503</v>
      </c>
      <c r="C45">
        <v>32</v>
      </c>
      <c r="D45">
        <v>32</v>
      </c>
      <c r="E45">
        <v>1078</v>
      </c>
      <c r="F45">
        <v>3040</v>
      </c>
      <c r="G45">
        <v>88</v>
      </c>
      <c r="H45">
        <v>95</v>
      </c>
      <c r="I45" s="19">
        <v>9720853</v>
      </c>
      <c r="J45" s="19">
        <v>282</v>
      </c>
    </row>
    <row r="46" spans="1:10" x14ac:dyDescent="0.25">
      <c r="A46" t="s">
        <v>116</v>
      </c>
      <c r="B46">
        <v>21699</v>
      </c>
      <c r="C46">
        <v>24</v>
      </c>
      <c r="D46">
        <v>26</v>
      </c>
      <c r="E46">
        <v>850</v>
      </c>
      <c r="F46">
        <v>1005</v>
      </c>
      <c r="G46">
        <v>46</v>
      </c>
      <c r="H46">
        <v>39</v>
      </c>
      <c r="I46" s="19">
        <v>6084977</v>
      </c>
      <c r="J46" s="19">
        <v>280</v>
      </c>
    </row>
    <row r="47" spans="1:10" x14ac:dyDescent="0.25">
      <c r="A47" t="s">
        <v>67</v>
      </c>
      <c r="B47">
        <v>5669</v>
      </c>
      <c r="C47">
        <v>10</v>
      </c>
      <c r="D47">
        <v>10</v>
      </c>
      <c r="E47">
        <v>567</v>
      </c>
      <c r="F47">
        <v>1521</v>
      </c>
      <c r="G47">
        <v>268</v>
      </c>
      <c r="H47">
        <v>152</v>
      </c>
      <c r="I47" s="19">
        <v>1582171</v>
      </c>
      <c r="J47" s="19">
        <v>279</v>
      </c>
    </row>
    <row r="48" spans="1:10" x14ac:dyDescent="0.25">
      <c r="A48" t="s">
        <v>108</v>
      </c>
      <c r="B48">
        <v>162928</v>
      </c>
      <c r="C48">
        <v>166</v>
      </c>
      <c r="D48">
        <v>178</v>
      </c>
      <c r="E48">
        <v>916</v>
      </c>
      <c r="F48">
        <v>8331</v>
      </c>
      <c r="G48">
        <v>51</v>
      </c>
      <c r="H48">
        <v>47</v>
      </c>
      <c r="I48" s="19">
        <v>45251468</v>
      </c>
      <c r="J48" s="19">
        <v>278</v>
      </c>
    </row>
    <row r="49" spans="1:10" x14ac:dyDescent="0.25">
      <c r="A49" t="s">
        <v>106</v>
      </c>
      <c r="B49">
        <v>58309</v>
      </c>
      <c r="C49">
        <v>70</v>
      </c>
      <c r="D49">
        <v>70</v>
      </c>
      <c r="E49">
        <v>833</v>
      </c>
      <c r="F49">
        <v>3014</v>
      </c>
      <c r="G49">
        <v>52</v>
      </c>
      <c r="H49">
        <v>43</v>
      </c>
      <c r="I49" s="19">
        <v>16070284</v>
      </c>
      <c r="J49" s="19">
        <v>276</v>
      </c>
    </row>
    <row r="50" spans="1:10" x14ac:dyDescent="0.25">
      <c r="A50" t="s">
        <v>57</v>
      </c>
      <c r="B50">
        <v>32058</v>
      </c>
      <c r="C50">
        <v>31</v>
      </c>
      <c r="D50">
        <v>31</v>
      </c>
      <c r="E50">
        <v>1021</v>
      </c>
      <c r="F50">
        <v>4124</v>
      </c>
      <c r="G50">
        <v>129</v>
      </c>
      <c r="H50">
        <v>131</v>
      </c>
      <c r="I50" s="19">
        <v>8558798</v>
      </c>
      <c r="J50" s="19">
        <v>267</v>
      </c>
    </row>
    <row r="51" spans="1:10" x14ac:dyDescent="0.25">
      <c r="A51" t="s">
        <v>118</v>
      </c>
      <c r="B51">
        <v>69305</v>
      </c>
      <c r="C51">
        <v>76</v>
      </c>
      <c r="D51">
        <v>80</v>
      </c>
      <c r="E51">
        <v>868</v>
      </c>
      <c r="F51">
        <v>3052</v>
      </c>
      <c r="G51">
        <v>44</v>
      </c>
      <c r="H51">
        <v>38</v>
      </c>
      <c r="I51" s="19">
        <v>18211999</v>
      </c>
      <c r="J51" s="19">
        <v>263</v>
      </c>
    </row>
    <row r="52" spans="1:10" x14ac:dyDescent="0.25">
      <c r="A52" t="s">
        <v>121</v>
      </c>
      <c r="B52">
        <v>20926</v>
      </c>
      <c r="C52">
        <v>21</v>
      </c>
      <c r="D52">
        <v>21</v>
      </c>
      <c r="E52">
        <v>996</v>
      </c>
      <c r="F52">
        <v>1460</v>
      </c>
      <c r="G52">
        <v>70</v>
      </c>
      <c r="H52">
        <v>70</v>
      </c>
      <c r="I52" s="19">
        <v>5455086</v>
      </c>
      <c r="J52" s="19">
        <v>261</v>
      </c>
    </row>
    <row r="53" spans="1:10" x14ac:dyDescent="0.25">
      <c r="A53" t="s">
        <v>105</v>
      </c>
      <c r="B53">
        <v>17499</v>
      </c>
      <c r="C53">
        <v>19</v>
      </c>
      <c r="D53">
        <v>19</v>
      </c>
      <c r="E53">
        <v>972</v>
      </c>
      <c r="F53">
        <v>750</v>
      </c>
      <c r="G53">
        <v>43</v>
      </c>
      <c r="H53">
        <v>42</v>
      </c>
      <c r="I53" s="19">
        <v>4468020</v>
      </c>
      <c r="J53" s="19">
        <v>255</v>
      </c>
    </row>
    <row r="54" spans="1:10" x14ac:dyDescent="0.25">
      <c r="A54" t="s">
        <v>56</v>
      </c>
      <c r="B54">
        <v>174307</v>
      </c>
      <c r="C54">
        <v>179</v>
      </c>
      <c r="D54">
        <v>187</v>
      </c>
      <c r="E54">
        <v>930</v>
      </c>
      <c r="F54">
        <v>7524</v>
      </c>
      <c r="G54">
        <v>43</v>
      </c>
      <c r="H54">
        <v>40</v>
      </c>
      <c r="I54" s="19">
        <v>42881952</v>
      </c>
      <c r="J54" s="19">
        <v>246</v>
      </c>
    </row>
    <row r="55" spans="1:10" x14ac:dyDescent="0.25">
      <c r="A55" t="s">
        <v>65</v>
      </c>
      <c r="B55">
        <v>6188</v>
      </c>
      <c r="C55">
        <v>7</v>
      </c>
      <c r="D55">
        <v>7</v>
      </c>
      <c r="E55">
        <v>884</v>
      </c>
      <c r="F55">
        <v>551</v>
      </c>
      <c r="G55">
        <v>89</v>
      </c>
      <c r="H55">
        <v>79</v>
      </c>
      <c r="I55" s="19">
        <v>1518310</v>
      </c>
      <c r="J55" s="19">
        <v>245</v>
      </c>
    </row>
    <row r="56" spans="1:10" x14ac:dyDescent="0.25">
      <c r="A56" t="s">
        <v>55</v>
      </c>
      <c r="B56">
        <v>22151</v>
      </c>
      <c r="C56">
        <v>24</v>
      </c>
      <c r="D56">
        <v>24</v>
      </c>
      <c r="E56">
        <v>923</v>
      </c>
      <c r="F56">
        <v>1392</v>
      </c>
      <c r="G56">
        <v>63</v>
      </c>
      <c r="H56">
        <v>58</v>
      </c>
      <c r="I56" s="19">
        <v>5244986</v>
      </c>
      <c r="J56" s="19">
        <v>237</v>
      </c>
    </row>
    <row r="57" spans="1:10" x14ac:dyDescent="0.25">
      <c r="A57" t="s">
        <v>85</v>
      </c>
      <c r="B57">
        <v>11440</v>
      </c>
      <c r="C57">
        <v>12</v>
      </c>
      <c r="D57">
        <v>13</v>
      </c>
      <c r="E57">
        <v>875</v>
      </c>
      <c r="F57">
        <v>1319</v>
      </c>
      <c r="G57">
        <v>115</v>
      </c>
      <c r="H57">
        <v>101</v>
      </c>
      <c r="I57" s="19">
        <v>2702697</v>
      </c>
      <c r="J57" s="19">
        <v>236</v>
      </c>
    </row>
    <row r="58" spans="1:10" x14ac:dyDescent="0.25">
      <c r="A58" t="s">
        <v>114</v>
      </c>
      <c r="B58">
        <v>102285</v>
      </c>
      <c r="C58">
        <v>87</v>
      </c>
      <c r="D58">
        <v>87</v>
      </c>
      <c r="E58">
        <v>1176</v>
      </c>
      <c r="F58">
        <v>3262</v>
      </c>
      <c r="G58">
        <v>32</v>
      </c>
      <c r="H58">
        <v>37</v>
      </c>
      <c r="I58" s="19">
        <v>22853972</v>
      </c>
      <c r="J58" s="19">
        <v>223</v>
      </c>
    </row>
    <row r="59" spans="1:10" x14ac:dyDescent="0.25">
      <c r="A59" t="s">
        <v>79</v>
      </c>
      <c r="B59">
        <v>14987</v>
      </c>
      <c r="C59">
        <v>18</v>
      </c>
      <c r="D59">
        <v>18</v>
      </c>
      <c r="E59">
        <v>833</v>
      </c>
      <c r="F59">
        <v>1214</v>
      </c>
      <c r="G59">
        <v>81</v>
      </c>
      <c r="H59">
        <v>67</v>
      </c>
      <c r="I59" s="19">
        <v>3322947</v>
      </c>
      <c r="J59" s="19">
        <v>222</v>
      </c>
    </row>
    <row r="60" spans="1:10" x14ac:dyDescent="0.25">
      <c r="A60" t="s">
        <v>81</v>
      </c>
      <c r="B60">
        <v>14930</v>
      </c>
      <c r="C60">
        <v>21</v>
      </c>
      <c r="D60">
        <v>21</v>
      </c>
      <c r="E60">
        <v>711</v>
      </c>
      <c r="F60">
        <v>1535</v>
      </c>
      <c r="G60">
        <v>103</v>
      </c>
      <c r="H60">
        <v>73</v>
      </c>
      <c r="I60" s="19">
        <v>3311084</v>
      </c>
      <c r="J60" s="19">
        <v>222</v>
      </c>
    </row>
    <row r="61" spans="1:10" x14ac:dyDescent="0.25">
      <c r="A61" t="s">
        <v>125</v>
      </c>
      <c r="B61">
        <v>40094</v>
      </c>
      <c r="C61">
        <v>36</v>
      </c>
      <c r="D61">
        <v>36</v>
      </c>
      <c r="E61">
        <v>1114</v>
      </c>
      <c r="F61">
        <v>2173</v>
      </c>
      <c r="G61">
        <v>54</v>
      </c>
      <c r="H61">
        <v>60</v>
      </c>
      <c r="I61" s="19">
        <v>8862602</v>
      </c>
      <c r="J61" s="19">
        <v>221</v>
      </c>
    </row>
    <row r="62" spans="1:10" x14ac:dyDescent="0.25">
      <c r="A62" t="s">
        <v>26</v>
      </c>
      <c r="B62">
        <v>13289</v>
      </c>
      <c r="C62">
        <v>16</v>
      </c>
      <c r="D62">
        <v>16</v>
      </c>
      <c r="E62">
        <v>831</v>
      </c>
      <c r="F62">
        <v>517</v>
      </c>
      <c r="G62">
        <v>39</v>
      </c>
      <c r="H62">
        <v>32</v>
      </c>
      <c r="I62" s="19">
        <v>2911018</v>
      </c>
      <c r="J62" s="19">
        <v>219</v>
      </c>
    </row>
    <row r="63" spans="1:10" x14ac:dyDescent="0.25">
      <c r="A63" t="s">
        <v>122</v>
      </c>
      <c r="B63">
        <v>17128</v>
      </c>
      <c r="C63">
        <v>16</v>
      </c>
      <c r="D63">
        <v>16</v>
      </c>
      <c r="E63">
        <v>1071</v>
      </c>
      <c r="F63">
        <v>1169</v>
      </c>
      <c r="G63">
        <v>68</v>
      </c>
      <c r="H63">
        <v>84</v>
      </c>
      <c r="I63" s="19">
        <v>3360601</v>
      </c>
      <c r="J63" s="19">
        <v>196</v>
      </c>
    </row>
    <row r="64" spans="1:10" x14ac:dyDescent="0.25">
      <c r="A64" t="s">
        <v>68</v>
      </c>
      <c r="B64">
        <v>7009</v>
      </c>
      <c r="C64">
        <v>6</v>
      </c>
      <c r="D64">
        <v>6</v>
      </c>
      <c r="E64">
        <v>1168</v>
      </c>
      <c r="F64">
        <v>278</v>
      </c>
      <c r="G64">
        <v>40</v>
      </c>
      <c r="H64">
        <v>46</v>
      </c>
      <c r="I64" s="19">
        <v>1351318</v>
      </c>
      <c r="J64" s="19">
        <v>193</v>
      </c>
    </row>
    <row r="65" spans="1:10" x14ac:dyDescent="0.25">
      <c r="A65" t="s">
        <v>78</v>
      </c>
      <c r="B65">
        <v>5777</v>
      </c>
      <c r="C65">
        <v>6</v>
      </c>
      <c r="D65">
        <v>6</v>
      </c>
      <c r="E65">
        <v>963</v>
      </c>
      <c r="F65">
        <v>460</v>
      </c>
      <c r="G65">
        <v>80</v>
      </c>
      <c r="H65">
        <v>77</v>
      </c>
      <c r="I65" s="19">
        <v>1074837</v>
      </c>
      <c r="J65" s="19">
        <v>186</v>
      </c>
    </row>
    <row r="66" spans="1:10" x14ac:dyDescent="0.25">
      <c r="A66" t="s">
        <v>77</v>
      </c>
      <c r="B66">
        <v>5273</v>
      </c>
      <c r="C66">
        <v>6</v>
      </c>
      <c r="D66">
        <v>6</v>
      </c>
      <c r="E66">
        <v>879</v>
      </c>
      <c r="F66">
        <v>393</v>
      </c>
      <c r="G66">
        <v>75</v>
      </c>
      <c r="H66">
        <v>66</v>
      </c>
      <c r="I66" s="19">
        <v>969508</v>
      </c>
      <c r="J66" s="19">
        <v>184</v>
      </c>
    </row>
    <row r="67" spans="1:10" x14ac:dyDescent="0.25">
      <c r="A67" t="s">
        <v>73</v>
      </c>
      <c r="B67">
        <v>9895</v>
      </c>
      <c r="C67">
        <v>8</v>
      </c>
      <c r="D67">
        <v>8</v>
      </c>
      <c r="E67">
        <v>1237</v>
      </c>
      <c r="F67">
        <v>526</v>
      </c>
      <c r="G67">
        <v>53</v>
      </c>
      <c r="H67">
        <v>66</v>
      </c>
      <c r="I67" s="19">
        <v>1809172</v>
      </c>
      <c r="J67" s="19">
        <v>183</v>
      </c>
    </row>
    <row r="68" spans="1:10" x14ac:dyDescent="0.25">
      <c r="A68" t="s">
        <v>76</v>
      </c>
      <c r="B68">
        <v>13349</v>
      </c>
      <c r="C68">
        <v>12</v>
      </c>
      <c r="D68">
        <v>12</v>
      </c>
      <c r="E68">
        <v>1112</v>
      </c>
      <c r="F68">
        <v>356</v>
      </c>
      <c r="G68">
        <v>27</v>
      </c>
      <c r="H68">
        <v>30</v>
      </c>
      <c r="I68" s="19">
        <v>2399698</v>
      </c>
      <c r="J68" s="19">
        <v>180</v>
      </c>
    </row>
    <row r="69" spans="1:10" x14ac:dyDescent="0.25">
      <c r="A69" t="s">
        <v>80</v>
      </c>
      <c r="B69">
        <v>6197</v>
      </c>
      <c r="C69">
        <v>4</v>
      </c>
      <c r="D69">
        <v>4</v>
      </c>
      <c r="E69">
        <v>1549</v>
      </c>
      <c r="F69">
        <v>222</v>
      </c>
      <c r="G69">
        <v>36</v>
      </c>
      <c r="H69">
        <v>56</v>
      </c>
      <c r="I69" s="19">
        <v>1084656</v>
      </c>
      <c r="J69" s="19">
        <v>175</v>
      </c>
    </row>
    <row r="70" spans="1:10" x14ac:dyDescent="0.25">
      <c r="A70" t="s">
        <v>91</v>
      </c>
      <c r="B70">
        <v>12616</v>
      </c>
      <c r="C70">
        <v>14</v>
      </c>
      <c r="D70">
        <v>14</v>
      </c>
      <c r="E70">
        <v>879</v>
      </c>
      <c r="F70">
        <v>628</v>
      </c>
      <c r="G70">
        <v>50</v>
      </c>
      <c r="H70">
        <v>47</v>
      </c>
      <c r="I70" s="19">
        <v>2178355</v>
      </c>
      <c r="J70" s="19">
        <v>173</v>
      </c>
    </row>
    <row r="71" spans="1:10" x14ac:dyDescent="0.25">
      <c r="A71" t="s">
        <v>71</v>
      </c>
      <c r="B71">
        <v>9011</v>
      </c>
      <c r="C71">
        <v>8</v>
      </c>
      <c r="D71">
        <v>8</v>
      </c>
      <c r="E71">
        <v>1126</v>
      </c>
      <c r="F71">
        <v>308</v>
      </c>
      <c r="G71">
        <v>34</v>
      </c>
      <c r="H71">
        <v>39</v>
      </c>
      <c r="I71" s="19">
        <v>1431090</v>
      </c>
      <c r="J71" s="19">
        <v>159</v>
      </c>
    </row>
    <row r="72" spans="1:10" x14ac:dyDescent="0.25">
      <c r="A72" t="s">
        <v>61</v>
      </c>
      <c r="B72">
        <v>5778</v>
      </c>
      <c r="C72">
        <v>4</v>
      </c>
      <c r="D72">
        <v>4</v>
      </c>
      <c r="E72">
        <v>1445</v>
      </c>
      <c r="F72">
        <v>264</v>
      </c>
      <c r="G72">
        <v>46</v>
      </c>
      <c r="H72">
        <v>66</v>
      </c>
      <c r="I72" s="19">
        <v>906529</v>
      </c>
      <c r="J72" s="19">
        <v>157</v>
      </c>
    </row>
    <row r="73" spans="1:10" x14ac:dyDescent="0.25">
      <c r="A73" t="s">
        <v>70</v>
      </c>
      <c r="B73">
        <v>8100</v>
      </c>
      <c r="C73">
        <v>6</v>
      </c>
      <c r="D73">
        <v>7</v>
      </c>
      <c r="E73">
        <v>1239</v>
      </c>
      <c r="F73">
        <v>408</v>
      </c>
      <c r="G73">
        <v>50</v>
      </c>
      <c r="H73">
        <v>62</v>
      </c>
      <c r="I73" s="19">
        <v>1222293</v>
      </c>
      <c r="J73" s="19">
        <v>151</v>
      </c>
    </row>
    <row r="74" spans="1:10" x14ac:dyDescent="0.25">
      <c r="A74" t="s">
        <v>82</v>
      </c>
      <c r="B74">
        <v>9360</v>
      </c>
      <c r="C74">
        <v>8</v>
      </c>
      <c r="D74">
        <v>8</v>
      </c>
      <c r="E74">
        <v>1170</v>
      </c>
      <c r="F74">
        <v>340</v>
      </c>
      <c r="G74">
        <v>36</v>
      </c>
      <c r="H74">
        <v>43</v>
      </c>
      <c r="I74" s="19">
        <v>1361236</v>
      </c>
      <c r="J74" s="19">
        <v>145</v>
      </c>
    </row>
    <row r="75" spans="1:10" x14ac:dyDescent="0.25">
      <c r="A75" t="s">
        <v>64</v>
      </c>
      <c r="B75">
        <v>15969</v>
      </c>
      <c r="C75">
        <v>12</v>
      </c>
      <c r="D75">
        <v>12</v>
      </c>
      <c r="E75">
        <v>1377</v>
      </c>
      <c r="F75">
        <v>554</v>
      </c>
      <c r="G75">
        <v>35</v>
      </c>
      <c r="H75">
        <v>48</v>
      </c>
      <c r="I75" s="19">
        <v>2188037</v>
      </c>
      <c r="J75" s="19">
        <v>137</v>
      </c>
    </row>
    <row r="76" spans="1:10" x14ac:dyDescent="0.25">
      <c r="A76" t="s">
        <v>63</v>
      </c>
      <c r="B76">
        <v>11548</v>
      </c>
      <c r="C76">
        <v>7</v>
      </c>
      <c r="D76">
        <v>7</v>
      </c>
      <c r="E76">
        <v>1650</v>
      </c>
      <c r="F76">
        <v>332</v>
      </c>
      <c r="G76">
        <v>29</v>
      </c>
      <c r="H76">
        <v>47</v>
      </c>
      <c r="I76" s="19">
        <v>1546560</v>
      </c>
      <c r="J76" s="19">
        <v>134</v>
      </c>
    </row>
    <row r="77" spans="1:10" x14ac:dyDescent="0.25">
      <c r="A77" t="s">
        <v>88</v>
      </c>
      <c r="B77">
        <v>12492</v>
      </c>
      <c r="C77">
        <v>9</v>
      </c>
      <c r="D77">
        <v>9</v>
      </c>
      <c r="E77">
        <v>1388</v>
      </c>
      <c r="F77">
        <v>631</v>
      </c>
      <c r="G77">
        <v>51</v>
      </c>
      <c r="H77">
        <v>70</v>
      </c>
      <c r="I77" s="19">
        <v>1645468</v>
      </c>
      <c r="J77" s="19">
        <v>132</v>
      </c>
    </row>
    <row r="78" spans="1:10" x14ac:dyDescent="0.25">
      <c r="A78" t="s">
        <v>87</v>
      </c>
      <c r="B78">
        <v>5786</v>
      </c>
      <c r="C78">
        <v>4</v>
      </c>
      <c r="D78">
        <v>4</v>
      </c>
      <c r="E78">
        <v>1447</v>
      </c>
      <c r="F78">
        <v>203</v>
      </c>
      <c r="G78">
        <v>35</v>
      </c>
      <c r="H78">
        <v>51</v>
      </c>
      <c r="I78" s="19">
        <v>743412</v>
      </c>
      <c r="J78" s="19">
        <v>128</v>
      </c>
    </row>
    <row r="79" spans="1:10" x14ac:dyDescent="0.25">
      <c r="A79" t="s">
        <v>75</v>
      </c>
      <c r="B79">
        <v>5332</v>
      </c>
      <c r="C79">
        <v>5</v>
      </c>
      <c r="D79">
        <v>5</v>
      </c>
      <c r="E79">
        <v>1066</v>
      </c>
      <c r="F79">
        <v>139</v>
      </c>
      <c r="G79">
        <v>26</v>
      </c>
      <c r="H79">
        <v>28</v>
      </c>
      <c r="I79" s="19">
        <v>666924</v>
      </c>
      <c r="J79" s="19">
        <v>125</v>
      </c>
    </row>
  </sheetData>
  <autoFilter ref="A1:J79" xr:uid="{3FD159EE-1376-46B3-9B84-393AC66ECA7F}">
    <sortState xmlns:xlrd2="http://schemas.microsoft.com/office/spreadsheetml/2017/richdata2" ref="A2:J79">
      <sortCondition descending="1" ref="J1:J79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268c33f-25ed-4706-a1f6-1d195e009c62}" enabled="1" method="Privileged" siteId="{b2971285-eb8c-4ba5-970f-d5d2748ef1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Budgets</vt:lpstr>
      <vt:lpstr>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White</cp:lastModifiedBy>
  <dcterms:modified xsi:type="dcterms:W3CDTF">2026-09-09T17:42:21Z</dcterms:modified>
</cp:coreProperties>
</file>